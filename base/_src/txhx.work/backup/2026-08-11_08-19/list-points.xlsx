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ventory\base\"/>
    </mc:Choice>
  </mc:AlternateContent>
  <xr:revisionPtr revIDLastSave="0" documentId="13_ncr:1_{6E512DE8-73F7-49F1-933C-4D8736469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1" r:id="rId1"/>
  </sheets>
  <calcPr calcId="191029"/>
</workbook>
</file>

<file path=xl/calcChain.xml><?xml version="1.0" encoding="utf-8"?>
<calcChain xmlns="http://schemas.openxmlformats.org/spreadsheetml/2006/main">
  <c r="C9" i="1" l="1"/>
  <c r="E7" i="1"/>
  <c r="B7" i="1"/>
  <c r="E6" i="1"/>
  <c r="B6" i="1"/>
  <c r="E5" i="1"/>
  <c r="B5" i="1"/>
  <c r="E4" i="1"/>
  <c r="B4" i="1"/>
</calcChain>
</file>

<file path=xl/sharedStrings.xml><?xml version="1.0" encoding="utf-8"?>
<sst xmlns="http://schemas.openxmlformats.org/spreadsheetml/2006/main" count="688" uniqueCount="288">
  <si>
    <t>Список компьютеров КБ №8</t>
  </si>
  <si>
    <t>Операционка:</t>
  </si>
  <si>
    <t>Железо:</t>
  </si>
  <si>
    <t>Alt-Linux 8</t>
  </si>
  <si>
    <t>I5</t>
  </si>
  <si>
    <t>Alt-Linux 9</t>
  </si>
  <si>
    <t>I3</t>
  </si>
  <si>
    <t>Windows 7</t>
  </si>
  <si>
    <t>i7</t>
  </si>
  <si>
    <t>Windows 10</t>
  </si>
  <si>
    <t>AMD</t>
  </si>
  <si>
    <t>Всего компьютеров:</t>
  </si>
  <si>
    <t>Всего:</t>
  </si>
  <si>
    <t>date</t>
  </si>
  <si>
    <t>ip   address</t>
  </si>
  <si>
    <t>mac address</t>
  </si>
  <si>
    <t>mothrboard</t>
  </si>
  <si>
    <t>processor</t>
  </si>
  <si>
    <t>memory</t>
  </si>
  <si>
    <t>hard disk</t>
  </si>
  <si>
    <t>hard disk size</t>
  </si>
  <si>
    <t>operation system</t>
  </si>
  <si>
    <t>host-name</t>
  </si>
  <si>
    <t>printer</t>
  </si>
  <si>
    <t>room</t>
  </si>
  <si>
    <t>building</t>
  </si>
  <si>
    <t>29.07.2026</t>
  </si>
  <si>
    <t>10.67.14.168</t>
  </si>
  <si>
    <t>F8:CC:6E:00:AF:29</t>
  </si>
  <si>
    <t>DEPO Computers DPH110S</t>
  </si>
  <si>
    <t>Intel(R) Pentium(R) Gold G5420 3.80GHz</t>
  </si>
  <si>
    <t>8GB</t>
  </si>
  <si>
    <t>QUMO_SSD ProductCode</t>
  </si>
  <si>
    <t>SSD 120Gb</t>
  </si>
  <si>
    <t>ALT 8 SP Workstation</t>
  </si>
  <si>
    <t>002096</t>
  </si>
  <si>
    <t>unknown</t>
  </si>
  <si>
    <t>404</t>
  </si>
  <si>
    <t>pol1</t>
  </si>
  <si>
    <t>04.08.2026</t>
  </si>
  <si>
    <t>10.67.28.72</t>
  </si>
  <si>
    <t>F8:CC:6E:00:5B:1A</t>
  </si>
  <si>
    <t>QUMO_SSD</t>
  </si>
  <si>
    <t>ord</t>
  </si>
  <si>
    <t>rod-3</t>
  </si>
  <si>
    <t>03.08.2026</t>
  </si>
  <si>
    <t>10.67.28.69</t>
  </si>
  <si>
    <t>F8:CC:6E:00:4F:13</t>
  </si>
  <si>
    <t>Samsung SCX-4833FD</t>
  </si>
  <si>
    <t>314</t>
  </si>
  <si>
    <t>det.pol</t>
  </si>
  <si>
    <t>30.07.2026</t>
  </si>
  <si>
    <t>127.0.0.1</t>
  </si>
  <si>
    <t>10:FF:E0:63:F1:98</t>
  </si>
  <si>
    <t>Gigabyte H410M K</t>
  </si>
  <si>
    <t>Intel i3-10100 3.60GHz</t>
  </si>
  <si>
    <t>16Gb</t>
  </si>
  <si>
    <t>SSD</t>
  </si>
  <si>
    <t>SSD 440Gb</t>
  </si>
  <si>
    <t>Windows 10 Pro</t>
  </si>
  <si>
    <t>WS-016-052</t>
  </si>
  <si>
    <t>HP LaserJet Pro MFP 4103</t>
  </si>
  <si>
    <t>zav</t>
  </si>
  <si>
    <t>pblock</t>
  </si>
  <si>
    <t>10.67.64.98</t>
  </si>
  <si>
    <t>00:58:3F:17:6A:B2</t>
  </si>
  <si>
    <t>Aquarius AQH310CM</t>
  </si>
  <si>
    <t>Intel(R) i5-9400 2.90GHz</t>
  </si>
  <si>
    <t>FOXLINE_FLSSD256X5</t>
  </si>
  <si>
    <t>SSD 256Gb</t>
  </si>
  <si>
    <t>ALT Workstation 9.0</t>
  </si>
  <si>
    <t>1051a2</t>
  </si>
  <si>
    <t>HP LaserJet Pro M426fdn</t>
  </si>
  <si>
    <t>reg.raspis</t>
  </si>
  <si>
    <t>07.08.2026</t>
  </si>
  <si>
    <t>10.67.64.77</t>
  </si>
  <si>
    <t>00:58:3F:17:6A:00</t>
  </si>
  <si>
    <t>SSD 260Gb</t>
  </si>
  <si>
    <t>Samsung SCX-4833</t>
  </si>
  <si>
    <t>423</t>
  </si>
  <si>
    <t>10.67.64.46</t>
  </si>
  <si>
    <t>00:58:3F:17:69:FE</t>
  </si>
  <si>
    <t>Cups-PDF</t>
  </si>
  <si>
    <t>923</t>
  </si>
  <si>
    <t>06.08.2026</t>
  </si>
  <si>
    <t>10.67.64.67</t>
  </si>
  <si>
    <t>00:58:3F:17:57:F8</t>
  </si>
  <si>
    <t>HP_LaserJet_Professional_P1102</t>
  </si>
  <si>
    <t>522</t>
  </si>
  <si>
    <t>10.67.64.56</t>
  </si>
  <si>
    <t>00:58:3F:17:57:6A</t>
  </si>
  <si>
    <t>HP_LaserJet_P2055d</t>
  </si>
  <si>
    <t>740</t>
  </si>
  <si>
    <t>rod3</t>
  </si>
  <si>
    <t>samsung4833</t>
  </si>
  <si>
    <t>M428f</t>
  </si>
  <si>
    <t>10.67.2.33</t>
  </si>
  <si>
    <t>F0-B4-D2-2C-6D-1D</t>
  </si>
  <si>
    <t>Gigabyte H510M H</t>
  </si>
  <si>
    <t>8Gb</t>
  </si>
  <si>
    <t>KINGSTON SA400S37480G</t>
  </si>
  <si>
    <t>SSD 480Gb</t>
  </si>
  <si>
    <t>Windows 10 IoT Enterprise LTSC</t>
  </si>
  <si>
    <t>KOMPUTER</t>
  </si>
  <si>
    <t>HP LaserJet Pro M428fdw</t>
  </si>
  <si>
    <t>318</t>
  </si>
  <si>
    <t>uprav</t>
  </si>
  <si>
    <t>10.67.14.88</t>
  </si>
  <si>
    <t>D0-27-88-9A-7C-7C</t>
  </si>
  <si>
    <t>Foxconn H61S</t>
  </si>
  <si>
    <t>Intel Celeron CPU G530 2.40GHz</t>
  </si>
  <si>
    <t>12Gb</t>
  </si>
  <si>
    <t>WD Green</t>
  </si>
  <si>
    <t>SSD 500Gb</t>
  </si>
  <si>
    <t>WS-014-088</t>
  </si>
  <si>
    <t>Samsung SCX-483x 5x3x Series</t>
  </si>
  <si>
    <t>pol1 khl</t>
  </si>
  <si>
    <t>10.67.24.12</t>
  </si>
  <si>
    <t>04-D9-F5-81-FB-29</t>
  </si>
  <si>
    <t>ASUSTeK PRIME A320M-A</t>
  </si>
  <si>
    <t>AMD Ryzen 5 3400G</t>
  </si>
  <si>
    <t>6GiB</t>
  </si>
  <si>
    <t>WDC WD5003ABYX-01WERA1</t>
  </si>
  <si>
    <t>500Gb</t>
  </si>
  <si>
    <t>WS-024-012</t>
  </si>
  <si>
    <t>HP LaserJet Pro M404dn</t>
  </si>
  <si>
    <t>disp</t>
  </si>
  <si>
    <t>skp</t>
  </si>
  <si>
    <t>10.67.28.59</t>
  </si>
  <si>
    <t>F8:CC:6E:00:B1:CF</t>
  </si>
  <si>
    <t>Intel(R) G5420 3.80GHz</t>
  </si>
  <si>
    <t>8 GB</t>
  </si>
  <si>
    <t xml:space="preserve">KINGSTON_SA400S37240G </t>
  </si>
  <si>
    <t>SSD 240Gb</t>
  </si>
  <si>
    <t>HP LaserJet Pro M428f-M429f</t>
  </si>
  <si>
    <t>registr</t>
  </si>
  <si>
    <t>10.67.64.107</t>
  </si>
  <si>
    <t>00:58:3F:0F:4C:F7</t>
  </si>
  <si>
    <t>Aquarius AQB365MC</t>
  </si>
  <si>
    <t xml:space="preserve">FOXLINE_FLSSD256X5 </t>
  </si>
  <si>
    <t>Pantum BP5100DN</t>
  </si>
  <si>
    <t>325</t>
  </si>
  <si>
    <t>10.67.64.5</t>
  </si>
  <si>
    <t>00:58:3F:17:58:0C</t>
  </si>
  <si>
    <t>HP M428</t>
  </si>
  <si>
    <t>pol1-3level</t>
  </si>
  <si>
    <t>10.67.64.26</t>
  </si>
  <si>
    <t>00:58:3F:17:76:0C</t>
  </si>
  <si>
    <t>Samsung-SCX-483x-5x3x-Series</t>
  </si>
  <si>
    <t>817</t>
  </si>
  <si>
    <t>10.67.64.2</t>
  </si>
  <si>
    <t>00:58:3F:17:76:20</t>
  </si>
  <si>
    <t>10.67.28.73</t>
  </si>
  <si>
    <t>F8:CC:6E:00:AF:9E</t>
  </si>
  <si>
    <t>HP Laserjet M14-M17</t>
  </si>
  <si>
    <t>1</t>
  </si>
  <si>
    <t>pat.anatom.</t>
  </si>
  <si>
    <t>10.67.12.70</t>
  </si>
  <si>
    <t>00:58:3F:16:57:0A</t>
  </si>
  <si>
    <t>st.ses</t>
  </si>
  <si>
    <t>h5</t>
  </si>
  <si>
    <t>10.67.12.49</t>
  </si>
  <si>
    <t>00:58:3F:0F:47:D7</t>
  </si>
  <si>
    <t>sts</t>
  </si>
  <si>
    <t>h2</t>
  </si>
  <si>
    <t>10.67.64.82</t>
  </si>
  <si>
    <t>00:58:3F:0F:3F:87</t>
  </si>
  <si>
    <t>433</t>
  </si>
  <si>
    <t>10.67.64.52</t>
  </si>
  <si>
    <t>00:58:3F:17:59:52</t>
  </si>
  <si>
    <t>824</t>
  </si>
  <si>
    <t>10.67.64.9</t>
  </si>
  <si>
    <t>00:58:3F:17:6A:52</t>
  </si>
  <si>
    <t>511</t>
  </si>
  <si>
    <t>10.67.22.66</t>
  </si>
  <si>
    <t>2C-F0-5D-9E-B2-56</t>
  </si>
  <si>
    <t xml:space="preserve">MSI A320M-A PRO </t>
  </si>
  <si>
    <t>Smartbuy SSD 256GB</t>
  </si>
  <si>
    <t>256Gb</t>
  </si>
  <si>
    <t>WS-022-066</t>
  </si>
  <si>
    <t>detstvo</t>
  </si>
  <si>
    <t>10.67.64.88</t>
  </si>
  <si>
    <t>00:58:3F:17:72:F0</t>
  </si>
  <si>
    <t>SSD 238Gb</t>
  </si>
  <si>
    <t>542</t>
  </si>
  <si>
    <t>10.67.64.40</t>
  </si>
  <si>
    <t>00:58:3F:17:54:E6</t>
  </si>
  <si>
    <t>9Gb</t>
  </si>
  <si>
    <t>530</t>
  </si>
  <si>
    <t>10.67.64.8</t>
  </si>
  <si>
    <t>00:58:3F:17:57:D6</t>
  </si>
  <si>
    <t>~</t>
  </si>
  <si>
    <t>10.67.22.105</t>
  </si>
  <si>
    <t>00:58:3F:12:36:6D</t>
  </si>
  <si>
    <t>247</t>
  </si>
  <si>
    <t>192.168.36.31</t>
  </si>
  <si>
    <t>00:58:3F:12:1D:48</t>
  </si>
  <si>
    <t>5</t>
  </si>
  <si>
    <t>stomat</t>
  </si>
  <si>
    <t>192.168.36.25</t>
  </si>
  <si>
    <t>18-C0-4D-CD-F6-5E</t>
  </si>
  <si>
    <t>Gigabyte H410M H V3</t>
  </si>
  <si>
    <t>Intel(R) i3-10105 3.70GHz</t>
  </si>
  <si>
    <t>Samsung SSD 870 EVO 500GB</t>
  </si>
  <si>
    <t>465Gb</t>
  </si>
  <si>
    <t>WS-036-025</t>
  </si>
  <si>
    <t>10.67.38.58</t>
  </si>
  <si>
    <t>10-FF-E0-63-ED-A8</t>
  </si>
  <si>
    <t>Intel(R) i3-10100 3.60GHz</t>
  </si>
  <si>
    <t>WD Blue SN5000 500GB</t>
  </si>
  <si>
    <t>HDD 465Gb</t>
  </si>
  <si>
    <t>WS-038-058</t>
  </si>
  <si>
    <t>409</t>
  </si>
  <si>
    <t>registratura</t>
  </si>
  <si>
    <t>10.67.64.92</t>
  </si>
  <si>
    <t>00:58:3F:17:63:82</t>
  </si>
  <si>
    <t>FOXLINE_FLSSD256X5 OnlyDisk</t>
  </si>
  <si>
    <t>330</t>
  </si>
  <si>
    <t>10.67.64.38</t>
  </si>
  <si>
    <t>00:58:3F:17:54:A4</t>
  </si>
  <si>
    <t>818</t>
  </si>
  <si>
    <t>10.67.64.96</t>
  </si>
  <si>
    <t>00:58:3F:0F:42:79</t>
  </si>
  <si>
    <t>417</t>
  </si>
  <si>
    <t>10.67.64.3</t>
  </si>
  <si>
    <t>00:58:3F:17:62:CA</t>
  </si>
  <si>
    <t>238Gb</t>
  </si>
  <si>
    <t>312</t>
  </si>
  <si>
    <t>192.168.0.129</t>
  </si>
  <si>
    <t>38-D5-47-E1-3E-C6</t>
  </si>
  <si>
    <t>ASUSTeK Z170-K</t>
  </si>
  <si>
    <t>Intel(R) i7-6700K 4.00GHz</t>
  </si>
  <si>
    <t>32Gb</t>
  </si>
  <si>
    <t>TOSHIBA DT01ACA100</t>
  </si>
  <si>
    <t>931Gb</t>
  </si>
  <si>
    <t>Windows 10 IoT Enterprise</t>
  </si>
  <si>
    <t>my</t>
  </si>
  <si>
    <t>home</t>
  </si>
  <si>
    <t>10.67.2.8</t>
  </si>
  <si>
    <t>58-11-22-07-4E-DF</t>
  </si>
  <si>
    <t>ASUSTeK PRIME H510M-K</t>
  </si>
  <si>
    <t>Intel(R) i5-10400 2.90GHz</t>
  </si>
  <si>
    <t>ST500NM0011</t>
  </si>
  <si>
    <t>SSD 465 Gb</t>
  </si>
  <si>
    <t>WS-002-008</t>
  </si>
  <si>
    <t>312 IGOR</t>
  </si>
  <si>
    <t>18-C0-4D-D7-67-0E</t>
  </si>
  <si>
    <t>SSD 447 Gb</t>
  </si>
  <si>
    <t xml:space="preserve">Windows 10 IoT Enterprise LTSC </t>
  </si>
  <si>
    <t>192.168.36.34</t>
  </si>
  <si>
    <t>00:58:3F:12:37:A7</t>
  </si>
  <si>
    <t xml:space="preserve">Intel(R) i5-9400 2.90GHz </t>
  </si>
  <si>
    <t>SSD 256</t>
  </si>
  <si>
    <t>4</t>
  </si>
  <si>
    <t>stomatology</t>
  </si>
  <si>
    <t>10.67.11.32</t>
  </si>
  <si>
    <t>00:58:3F:0D:24:AD</t>
  </si>
  <si>
    <t>ASUSTeK PRIME B365M-C</t>
  </si>
  <si>
    <t>FOXLINE FLSSD256X5</t>
  </si>
  <si>
    <t>ALT Workstation 10.4</t>
  </si>
  <si>
    <t>dpk5324</t>
  </si>
  <si>
    <t>192.168.0.172</t>
  </si>
  <si>
    <t>2C:56:DC:DB:90:05</t>
  </si>
  <si>
    <t>ASUSTeK A68HM-K</t>
  </si>
  <si>
    <t xml:space="preserve">AMD Athlon(tm) X2 340 </t>
  </si>
  <si>
    <t>6Gb</t>
  </si>
  <si>
    <t>HDD 1000Gb</t>
  </si>
  <si>
    <t>CentOS Stream 9</t>
  </si>
  <si>
    <t>localhost</t>
  </si>
  <si>
    <t>sleep</t>
  </si>
  <si>
    <t>10.67.40.20</t>
  </si>
  <si>
    <t>00:58:3f:12:36:42</t>
  </si>
  <si>
    <t>6</t>
  </si>
  <si>
    <t>tuber</t>
  </si>
  <si>
    <t>10.67.40.17</t>
  </si>
  <si>
    <t>00:58:3f:12:36:49</t>
  </si>
  <si>
    <t>8</t>
  </si>
  <si>
    <t>10.67.64.62</t>
  </si>
  <si>
    <t>00:58:3f:17:59:a3</t>
  </si>
  <si>
    <t>256 GB/238 GiB</t>
  </si>
  <si>
    <t>316</t>
  </si>
  <si>
    <t>192.168.0.139</t>
  </si>
  <si>
    <t>ASRock J3355M</t>
  </si>
  <si>
    <t xml:space="preserve">Intel(R) J3355 2.00GHz </t>
  </si>
  <si>
    <t>WDC WD5000BPVT-2</t>
  </si>
  <si>
    <t>500 GB/466 GiB</t>
  </si>
  <si>
    <t>ALT Workstation 8.2</t>
  </si>
  <si>
    <t>home-comp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</si>
</sst>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₽&quot;"/>
  </numFmts>
  <fonts count="60" x14ac:knownFonts="1">
    <font>
      <sz val="11"/>
      <color theme="1"/>
      <name val="Calibri"/>
      <family val="2"/>
      <charset val="204"/>
      <scheme val="minor"/>
    </font>
    <font>
      <b/>
      <sz val="16"/>
      <color indexed="30"/>
      <name val="Calibri"/>
      <family val="2"/>
    </font>
    <font>
      <b/>
      <sz val="14"/>
      <color indexed="63"/>
      <name val="Calibri"/>
      <family val="2"/>
    </font>
    <font>
      <i/>
      <sz val="11"/>
      <color indexed="63"/>
      <name val="Calibri"/>
      <family val="2"/>
    </font>
    <font>
      <sz val="11"/>
      <name val="Calibri"/>
      <family val="2"/>
    </font>
    <font>
      <b/>
      <sz val="12"/>
      <color indexed="63"/>
      <name val="Calibri"/>
      <family val="2"/>
    </font>
    <font>
      <b/>
      <sz val="10"/>
      <color indexed="60"/>
      <name val="Arial"/>
    </font>
    <font>
      <b/>
      <sz val="10"/>
      <color indexed="60"/>
      <name val="Arial"/>
    </font>
    <font>
      <b/>
      <sz val="14"/>
      <color indexed="57"/>
      <name val="Calibri"/>
      <family val="2"/>
      <charset val="204"/>
    </font>
    <font>
      <sz val="12"/>
      <color indexed="53"/>
      <name val="Calibri"/>
      <family val="2"/>
    </font>
    <font>
      <b/>
      <sz val="12"/>
      <color indexed="53"/>
      <name val="Calibri"/>
      <family val="2"/>
    </font>
    <font>
      <b/>
      <sz val="11"/>
      <color indexed="10"/>
      <name val="Play"/>
      <charset val="204"/>
    </font>
    <font>
      <b/>
      <sz val="12"/>
      <color indexed="63"/>
      <name val="Calibri"/>
      <family val="2"/>
    </font>
    <font>
      <b/>
      <sz val="12"/>
      <color indexed="60"/>
      <name val="Arial"/>
      <family val="2"/>
      <charset val="204"/>
    </font>
    <font>
      <b/>
      <sz val="12"/>
      <color indexed="57"/>
      <name val="Arial"/>
      <family val="2"/>
      <charset val="204"/>
    </font>
    <font>
      <b/>
      <sz val="11"/>
      <color indexed="62"/>
      <name val="Arial"/>
      <family val="2"/>
      <charset val="204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12"/>
      <color indexed="8"/>
      <name val="Calibri"/>
    </font>
    <font>
      <b/>
      <sz val="12"/>
      <name val="Calibri"/>
    </font>
    <font>
      <b/>
      <sz val="24"/>
      <color indexed="57"/>
      <name val="Calibri"/>
      <family val="2"/>
    </font>
    <font>
      <sz val="12"/>
      <name val="Calibri"/>
    </font>
    <font>
      <b/>
      <sz val="12"/>
      <color rgb="FFFF0000"/>
      <name val="Calibri"/>
    </font>
    <font>
      <b/>
      <sz val="12"/>
      <color rgb="FFFF8C00"/>
      <name val="Calibri"/>
    </font>
    <font>
      <b/>
      <sz val="12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57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2"/>
      </top>
      <bottom/>
      <diagonal/>
    </border>
    <border>
      <left/>
      <right/>
      <top style="medium">
        <color indexed="30"/>
      </top>
      <bottom style="medium">
        <color indexed="30"/>
      </bottom>
      <diagonal/>
    </border>
    <border>
      <left/>
      <right style="medium">
        <color indexed="23"/>
      </right>
      <top style="medium">
        <color indexed="30"/>
      </top>
      <bottom style="medium">
        <color indexed="30"/>
      </bottom>
      <diagonal/>
    </border>
    <border>
      <left style="medium">
        <color indexed="23"/>
      </left>
      <right style="medium">
        <color indexed="23"/>
      </right>
      <top style="medium">
        <color indexed="30"/>
      </top>
      <bottom style="medium">
        <color indexed="30"/>
      </bottom>
      <diagonal/>
    </border>
    <border>
      <left style="medium">
        <color indexed="23"/>
      </left>
      <right style="thin">
        <color indexed="64"/>
      </right>
      <top style="medium">
        <color indexed="30"/>
      </top>
      <bottom style="medium">
        <color indexed="30"/>
      </bottom>
      <diagonal/>
    </border>
    <border>
      <left style="thin">
        <color indexed="64"/>
      </left>
      <right/>
      <top style="medium">
        <color indexed="30"/>
      </top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23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808080"/>
      </bottom>
      <diagonal/>
    </border>
  </borders>
  <cellStyleXfs count="10">
    <xf numFmtId="0" fontId="0" fillId="0" borderId="0"/>
    <xf numFmtId="0" fontId="2" fillId="0" borderId="1">
      <alignment vertical="center"/>
    </xf>
    <xf numFmtId="0" fontId="3" fillId="0" borderId="2">
      <alignment vertical="center"/>
    </xf>
    <xf numFmtId="14" fontId="4" fillId="0" borderId="0"/>
    <xf numFmtId="0" fontId="1" fillId="0" borderId="0">
      <alignment horizontal="left" vertical="center" wrapText="1" indent="1"/>
    </xf>
    <xf numFmtId="1" fontId="4" fillId="0" borderId="0"/>
    <xf numFmtId="0" fontId="4" fillId="3" borderId="0"/>
    <xf numFmtId="0" fontId="12" fillId="0" borderId="0">
      <alignment horizontal="center" vertical="center" wrapText="1"/>
    </xf>
    <xf numFmtId="164" fontId="4" fillId="0" borderId="0"/>
    <xf numFmtId="164" fontId="4" fillId="0" borderId="0">
      <alignment horizontal="right" indent="3"/>
    </xf>
  </cellStyleXfs>
  <cellXfs count="73">
    <xf numFmtId="0" fontId="0" fillId="0" borderId="0" xfId="0"/>
    <xf numFmtId="0" fontId="6" fillId="4" borderId="0" xfId="0" applyFont="1" applyFill="1" applyAlignment="1">
      <alignment vertical="center"/>
    </xf>
    <xf numFmtId="0" fontId="0" fillId="4" borderId="0" xfId="0" applyFill="1"/>
    <xf numFmtId="3" fontId="11" fillId="0" borderId="0" xfId="8" applyNumberFormat="1" applyFont="1" applyAlignment="1">
      <alignment horizontal="right" vertical="center" indent="1"/>
    </xf>
    <xf numFmtId="0" fontId="6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2" fillId="5" borderId="5" xfId="7" applyFill="1" applyBorder="1">
      <alignment horizontal="center" vertical="center" wrapText="1"/>
    </xf>
    <xf numFmtId="0" fontId="12" fillId="5" borderId="6" xfId="7" applyFill="1" applyBorder="1">
      <alignment horizontal="center" vertical="center" wrapText="1"/>
    </xf>
    <xf numFmtId="0" fontId="12" fillId="5" borderId="7" xfId="7" applyFill="1" applyBorder="1">
      <alignment horizontal="center" vertical="center" wrapText="1"/>
    </xf>
    <xf numFmtId="0" fontId="5" fillId="5" borderId="8" xfId="7" applyFont="1" applyFill="1" applyBorder="1">
      <alignment horizontal="center" vertical="center" wrapText="1"/>
    </xf>
    <xf numFmtId="0" fontId="10" fillId="5" borderId="6" xfId="7" applyFont="1" applyFill="1" applyBorder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14" fontId="24" fillId="0" borderId="3" xfId="0" applyNumberFormat="1" applyFont="1" applyBorder="1" applyAlignment="1">
      <alignment horizontal="center" vertical="center"/>
    </xf>
    <xf numFmtId="14" fontId="25" fillId="0" borderId="3" xfId="0" applyNumberFormat="1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29" fillId="0" borderId="3" xfId="0" applyNumberFormat="1" applyFont="1" applyBorder="1" applyAlignment="1">
      <alignment horizontal="center" vertical="center"/>
    </xf>
    <xf numFmtId="14" fontId="30" fillId="0" borderId="3" xfId="0" applyNumberFormat="1" applyFont="1" applyBorder="1" applyAlignment="1">
      <alignment horizontal="center" vertical="center"/>
    </xf>
    <xf numFmtId="14" fontId="31" fillId="0" borderId="3" xfId="0" applyNumberFormat="1" applyFont="1" applyBorder="1" applyAlignment="1">
      <alignment horizontal="center" vertical="center"/>
    </xf>
    <xf numFmtId="14" fontId="32" fillId="0" borderId="3" xfId="0" applyNumberFormat="1" applyFont="1" applyBorder="1" applyAlignment="1">
      <alignment horizontal="center" vertical="center"/>
    </xf>
    <xf numFmtId="14" fontId="33" fillId="0" borderId="3" xfId="0" applyNumberFormat="1" applyFont="1" applyBorder="1" applyAlignment="1">
      <alignment horizontal="center" vertical="center"/>
    </xf>
    <xf numFmtId="14" fontId="34" fillId="0" borderId="3" xfId="0" applyNumberFormat="1" applyFont="1" applyBorder="1" applyAlignment="1">
      <alignment horizontal="center" vertical="center"/>
    </xf>
    <xf numFmtId="14" fontId="35" fillId="0" borderId="3" xfId="0" applyNumberFormat="1" applyFont="1" applyBorder="1" applyAlignment="1">
      <alignment horizontal="center" vertical="center"/>
    </xf>
    <xf numFmtId="14" fontId="36" fillId="0" borderId="3" xfId="0" applyNumberFormat="1" applyFont="1" applyBorder="1" applyAlignment="1">
      <alignment horizontal="center" vertical="center"/>
    </xf>
    <xf numFmtId="14" fontId="37" fillId="0" borderId="3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14" fontId="39" fillId="0" borderId="3" xfId="0" applyNumberFormat="1" applyFont="1" applyBorder="1" applyAlignment="1">
      <alignment horizontal="center" vertical="center"/>
    </xf>
    <xf numFmtId="14" fontId="40" fillId="0" borderId="3" xfId="0" applyNumberFormat="1" applyFont="1" applyBorder="1" applyAlignment="1">
      <alignment horizontal="center" vertical="center"/>
    </xf>
    <xf numFmtId="14" fontId="41" fillId="0" borderId="3" xfId="0" applyNumberFormat="1" applyFont="1" applyBorder="1" applyAlignment="1">
      <alignment horizontal="center" vertical="center"/>
    </xf>
    <xf numFmtId="14" fontId="42" fillId="0" borderId="3" xfId="0" applyNumberFormat="1" applyFont="1" applyBorder="1" applyAlignment="1">
      <alignment horizontal="center" vertical="center"/>
    </xf>
    <xf numFmtId="14" fontId="43" fillId="0" borderId="3" xfId="0" applyNumberFormat="1" applyFont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6" fillId="4" borderId="9" xfId="0" applyFont="1" applyFill="1" applyBorder="1" applyAlignment="1">
      <alignment horizontal="right" vertical="center" indent="2"/>
    </xf>
    <xf numFmtId="14" fontId="44" fillId="0" borderId="3" xfId="0" applyNumberFormat="1" applyFont="1" applyBorder="1" applyAlignment="1">
      <alignment horizontal="center" vertical="center"/>
    </xf>
    <xf numFmtId="14" fontId="45" fillId="0" borderId="3" xfId="0" applyNumberFormat="1" applyFont="1" applyBorder="1" applyAlignment="1">
      <alignment horizontal="center" vertical="center"/>
    </xf>
    <xf numFmtId="14" fontId="46" fillId="0" borderId="3" xfId="0" applyNumberFormat="1" applyFont="1" applyBorder="1" applyAlignment="1">
      <alignment horizontal="center" vertical="center"/>
    </xf>
    <xf numFmtId="14" fontId="47" fillId="0" borderId="3" xfId="0" applyNumberFormat="1" applyFont="1" applyBorder="1" applyAlignment="1">
      <alignment horizontal="center" vertical="center"/>
    </xf>
    <xf numFmtId="14" fontId="48" fillId="0" borderId="3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right" vertical="center" indent="1"/>
    </xf>
    <xf numFmtId="0" fontId="14" fillId="4" borderId="0" xfId="0" applyFont="1" applyFill="1" applyAlignment="1">
      <alignment horizontal="right" vertical="center" indent="1"/>
    </xf>
    <xf numFmtId="0" fontId="6" fillId="4" borderId="9" xfId="0" applyFont="1" applyFill="1" applyBorder="1" applyAlignment="1">
      <alignment horizontal="right" vertical="center" indent="1"/>
    </xf>
    <xf numFmtId="0" fontId="15" fillId="4" borderId="0" xfId="0" applyFont="1" applyFill="1" applyAlignment="1">
      <alignment horizontal="right" vertical="center" indent="1"/>
    </xf>
    <xf numFmtId="0" fontId="0" fillId="0" borderId="0" xfId="0" applyAlignment="1">
      <alignment horizontal="right" indent="1"/>
    </xf>
    <xf numFmtId="0" fontId="12" fillId="5" borderId="6" xfId="7" applyFill="1" applyBorder="1" applyAlignment="1">
      <alignment horizontal="right" vertical="center" wrapText="1" indent="1"/>
    </xf>
    <xf numFmtId="0" fontId="13" fillId="4" borderId="0" xfId="0" applyFont="1" applyFill="1" applyAlignment="1">
      <alignment horizontal="right" vertical="center" indent="1"/>
    </xf>
    <xf numFmtId="14" fontId="49" fillId="0" borderId="3" xfId="0" applyNumberFormat="1" applyFont="1" applyBorder="1" applyAlignment="1">
      <alignment horizontal="center" vertical="center"/>
    </xf>
    <xf numFmtId="14" fontId="50" fillId="0" borderId="3" xfId="0" applyNumberFormat="1" applyFont="1" applyBorder="1" applyAlignment="1">
      <alignment horizontal="center" vertical="center"/>
    </xf>
    <xf numFmtId="14" fontId="51" fillId="0" borderId="3" xfId="0" applyNumberFormat="1" applyFont="1" applyBorder="1" applyAlignment="1">
      <alignment horizontal="center" vertical="center"/>
    </xf>
    <xf numFmtId="14" fontId="52" fillId="0" borderId="3" xfId="0" applyNumberFormat="1" applyFont="1" applyBorder="1" applyAlignment="1">
      <alignment horizontal="center" vertical="center"/>
    </xf>
    <xf numFmtId="0" fontId="53" fillId="0" borderId="11" xfId="0" applyFont="1" applyBorder="1" applyAlignment="1">
      <alignment horizontal="left" vertical="center"/>
    </xf>
    <xf numFmtId="14" fontId="54" fillId="0" borderId="3" xfId="0" applyNumberFormat="1" applyFont="1" applyBorder="1" applyAlignment="1">
      <alignment horizontal="center" vertical="center"/>
    </xf>
    <xf numFmtId="0" fontId="55" fillId="4" borderId="0" xfId="0" applyFont="1" applyFill="1" applyAlignment="1">
      <alignment horizontal="left" vertical="center"/>
    </xf>
    <xf numFmtId="0" fontId="56" fillId="0" borderId="12" xfId="0" applyFont="1" applyBorder="1" applyAlignment="1">
      <alignment horizontal="right" vertical="center"/>
    </xf>
    <xf numFmtId="0" fontId="59" fillId="0" borderId="12" xfId="0" applyFont="1" applyBorder="1" applyAlignment="1">
      <alignment horizontal="center" vertical="center"/>
    </xf>
    <xf numFmtId="0" fontId="57" fillId="0" borderId="12" xfId="0" applyFont="1" applyBorder="1" applyAlignment="1">
      <alignment horizontal="right" vertical="center"/>
    </xf>
    <xf numFmtId="0" fontId="58" fillId="0" borderId="12" xfId="0" applyFont="1" applyBorder="1" applyAlignment="1">
      <alignment horizontal="right" vertical="center"/>
    </xf>
    <xf numFmtId="0" fontId="56" fillId="0" borderId="13" xfId="0" applyFont="1" applyBorder="1" applyAlignment="1">
      <alignment horizontal="right" vertical="center"/>
    </xf>
    <xf numFmtId="0" fontId="8" fillId="0" borderId="10" xfId="2" applyFont="1" applyBorder="1" applyAlignment="1">
      <alignment horizontal="left" vertical="center"/>
    </xf>
    <xf numFmtId="0" fontId="0" fillId="0" borderId="10" xfId="0" applyBorder="1"/>
    <xf numFmtId="0" fontId="7" fillId="2" borderId="0" xfId="0" applyFont="1" applyFill="1" applyAlignment="1">
      <alignment vertical="center"/>
    </xf>
    <xf numFmtId="0" fontId="0" fillId="0" borderId="0" xfId="0"/>
    <xf numFmtId="0" fontId="0" fillId="0" borderId="0" xfId="0" applyAlignment="1">
      <alignment horizontal="right" indent="1"/>
    </xf>
    <xf numFmtId="0" fontId="59" fillId="0" borderId="13" xfId="0" applyFont="1" applyBorder="1" applyAlignment="1">
      <alignment horizontal="center" vertical="center"/>
    </xf>
  </cellXfs>
  <cellStyles count="10">
    <cellStyle name="Excel_BuiltIn_Заголовок 2" xfId="1" xr:uid="{00000000-0005-0000-0000-000001000000}"/>
    <cellStyle name="Excel_BuiltIn_Пояснение" xfId="2" xr:uid="{00000000-0005-0000-0000-000002000000}"/>
    <cellStyle name="Дата" xfId="3" xr:uid="{00000000-0005-0000-0000-000003000000}"/>
    <cellStyle name="Заголовок 4 с выравниванием по правому краю" xfId="4" xr:uid="{00000000-0005-0000-0000-000004000000}"/>
    <cellStyle name="Количество" xfId="5" xr:uid="{00000000-0005-0000-0000-000005000000}"/>
    <cellStyle name="Обычный" xfId="0" builtinId="0"/>
    <cellStyle name="Сведения о кредите" xfId="6" xr:uid="{00000000-0005-0000-0000-000006000000}"/>
    <cellStyle name="Стиль 6" xfId="7" xr:uid="{00000000-0005-0000-0000-000007000000}"/>
    <cellStyle name="Сумма" xfId="8" xr:uid="{00000000-0005-0000-0000-000008000000}"/>
    <cellStyle name="Сумма в таблице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64"/>
  <sheetViews>
    <sheetView tabSelected="1" topLeftCell="A2" workbookViewId="0">
      <pane ySplit="9" topLeftCell="A11" activePane="bottomLeft" state="frozen"/>
      <selection activeCell="A2" sqref="A2"/>
      <selection pane="bottomLeft" activeCell="A23" sqref="A23"/>
    </sheetView>
  </sheetViews>
  <sheetFormatPr defaultRowHeight="15" x14ac:dyDescent="0.25"/>
  <cols>
    <col min="1" max="1" width="13.85546875" customWidth="1"/>
    <col min="2" max="2" width="16.28515625" customWidth="1"/>
    <col min="3" max="3" width="20" customWidth="1"/>
    <col min="4" max="4" width="32.7109375" style="52" customWidth="1"/>
    <col min="5" max="5" width="39" style="52" customWidth="1"/>
    <col min="6" max="6" width="12" style="52" customWidth="1"/>
    <col min="7" max="7" width="29.7109375" style="52" customWidth="1"/>
    <col min="8" max="8" width="19.28515625" customWidth="1"/>
    <col min="9" max="9" width="34.5703125" customWidth="1"/>
    <col min="10" max="10" width="15.5703125" customWidth="1"/>
    <col min="11" max="11" width="31.85546875" customWidth="1"/>
    <col min="12" max="12" width="13.42578125" customWidth="1"/>
    <col min="13" max="13" width="17" customWidth="1"/>
  </cols>
  <sheetData>
    <row r="1" spans="1:255" s="70" customFormat="1" ht="6.75" hidden="1" customHeight="1" x14ac:dyDescent="0.25">
      <c r="A1" s="69"/>
      <c r="D1" s="71"/>
      <c r="E1" s="71"/>
      <c r="F1" s="71"/>
      <c r="G1" s="71"/>
    </row>
    <row r="2" spans="1:255" s="2" customFormat="1" ht="63.75" customHeight="1" x14ac:dyDescent="0.25">
      <c r="A2" s="61" t="s">
        <v>0</v>
      </c>
      <c r="C2" s="4"/>
      <c r="D2" s="48"/>
      <c r="E2" s="48"/>
      <c r="F2" s="48"/>
      <c r="G2" s="4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</row>
    <row r="3" spans="1:255" ht="15.75" customHeight="1" x14ac:dyDescent="0.25">
      <c r="A3" s="6" t="s">
        <v>1</v>
      </c>
      <c r="B3" s="5"/>
      <c r="C3" s="5"/>
      <c r="D3" s="49" t="s">
        <v>2</v>
      </c>
      <c r="E3" s="54"/>
      <c r="F3" s="48"/>
      <c r="G3" s="48"/>
      <c r="H3" s="1"/>
      <c r="I3" s="1"/>
      <c r="J3" s="1"/>
      <c r="K3" s="1"/>
      <c r="L3" s="1"/>
      <c r="M3" s="1"/>
    </row>
    <row r="4" spans="1:255" x14ac:dyDescent="0.25">
      <c r="A4" s="41" t="s">
        <v>3</v>
      </c>
      <c r="B4" s="42">
        <f>COUNTIF(I11:I1384, "*Workstation*8*")</f>
        <v>1</v>
      </c>
      <c r="C4" s="1"/>
      <c r="D4" s="50" t="s">
        <v>4</v>
      </c>
      <c r="E4" s="50">
        <f>COUNTIF(E11:E1384, "*i5*")</f>
        <v>34</v>
      </c>
      <c r="F4" s="48"/>
      <c r="G4" s="48"/>
      <c r="H4" s="1"/>
      <c r="I4" s="1"/>
      <c r="J4" s="1"/>
      <c r="K4" s="1"/>
      <c r="L4" s="1"/>
      <c r="M4" s="1"/>
    </row>
    <row r="5" spans="1:255" x14ac:dyDescent="0.25">
      <c r="A5" s="41" t="s">
        <v>5</v>
      </c>
      <c r="B5" s="42">
        <f>COUNTIF(I11:I1384, "*Workstation*9*")</f>
        <v>32</v>
      </c>
      <c r="C5" s="1"/>
      <c r="D5" s="50" t="s">
        <v>6</v>
      </c>
      <c r="E5" s="50">
        <f>COUNTIF(E11:E1384, "*i3*")</f>
        <v>6</v>
      </c>
      <c r="F5" s="48"/>
      <c r="G5" s="48"/>
      <c r="H5" s="1"/>
      <c r="I5" s="1"/>
      <c r="J5" s="1"/>
      <c r="K5" s="1"/>
      <c r="L5" s="1"/>
      <c r="M5" s="1"/>
    </row>
    <row r="6" spans="1:255" x14ac:dyDescent="0.25">
      <c r="A6" s="41" t="s">
        <v>7</v>
      </c>
      <c r="B6" s="42">
        <f>COUNTIF(I11:I1393, "*Windows*7*")</f>
        <v>0</v>
      </c>
      <c r="C6" s="1"/>
      <c r="D6" s="50" t="s">
        <v>8</v>
      </c>
      <c r="E6" s="50">
        <f>COUNTIF(E11:E1384, "*i7*")</f>
        <v>1</v>
      </c>
      <c r="F6" s="48"/>
      <c r="G6" s="48"/>
      <c r="H6" s="1"/>
      <c r="I6" s="1"/>
      <c r="J6" s="1"/>
      <c r="K6" s="1"/>
      <c r="L6" s="1"/>
      <c r="M6" s="1"/>
    </row>
    <row r="7" spans="1:255" x14ac:dyDescent="0.25">
      <c r="A7" s="41" t="s">
        <v>9</v>
      </c>
      <c r="B7" s="42">
        <f>COUNTIF(I11:I1393, "*Windows*10*")</f>
        <v>11</v>
      </c>
      <c r="C7" s="1"/>
      <c r="D7" s="50" t="s">
        <v>10</v>
      </c>
      <c r="E7" s="50">
        <f>COUNTIF(E11:E1384, "*AMD*")</f>
        <v>3</v>
      </c>
      <c r="F7" s="48"/>
      <c r="G7" s="48"/>
      <c r="H7" s="1"/>
      <c r="I7" s="1"/>
      <c r="J7" s="1"/>
      <c r="K7" s="1"/>
      <c r="L7" s="1"/>
      <c r="M7" s="1"/>
    </row>
    <row r="8" spans="1:255" ht="15.75" customHeight="1" x14ac:dyDescent="0.25">
      <c r="A8" s="5"/>
      <c r="B8" s="5"/>
      <c r="C8" s="5"/>
      <c r="D8" s="51"/>
      <c r="E8" s="54"/>
      <c r="F8" s="48"/>
      <c r="G8" s="48"/>
      <c r="H8" s="1"/>
      <c r="I8" s="1"/>
      <c r="J8" s="1"/>
      <c r="K8" s="1"/>
      <c r="L8" s="1"/>
      <c r="M8" s="1"/>
    </row>
    <row r="9" spans="1:255" ht="19.5" customHeight="1" thickBot="1" x14ac:dyDescent="0.3">
      <c r="A9" s="67" t="s">
        <v>11</v>
      </c>
      <c r="B9" s="68"/>
      <c r="C9" s="3">
        <f>ROWS(B11:B1359)-COUNTIF(B11:B1359,"")</f>
        <v>54</v>
      </c>
      <c r="E9" s="48"/>
      <c r="F9" s="48"/>
      <c r="G9" s="48" t="s">
        <v>12</v>
      </c>
      <c r="H9" s="1"/>
      <c r="I9" s="1"/>
      <c r="J9" s="1"/>
      <c r="K9" s="1"/>
      <c r="L9" s="1"/>
      <c r="M9" s="1"/>
    </row>
    <row r="10" spans="1:255" s="13" customFormat="1" ht="25.5" customHeight="1" thickBot="1" x14ac:dyDescent="0.3">
      <c r="A10" s="8" t="s">
        <v>13</v>
      </c>
      <c r="B10" s="9" t="s">
        <v>14</v>
      </c>
      <c r="C10" s="9" t="s">
        <v>15</v>
      </c>
      <c r="D10" s="53" t="s">
        <v>16</v>
      </c>
      <c r="E10" s="53" t="s">
        <v>17</v>
      </c>
      <c r="F10" s="53" t="s">
        <v>18</v>
      </c>
      <c r="G10" s="53" t="s">
        <v>19</v>
      </c>
      <c r="H10" s="9" t="s">
        <v>20</v>
      </c>
      <c r="I10" s="9" t="s">
        <v>21</v>
      </c>
      <c r="J10" s="10" t="s">
        <v>22</v>
      </c>
      <c r="K10" s="10" t="s">
        <v>23</v>
      </c>
      <c r="L10" s="11" t="s">
        <v>24</v>
      </c>
      <c r="M10" s="12" t="s">
        <v>25</v>
      </c>
    </row>
    <row r="11" spans="1:255" s="59" customFormat="1" ht="18" customHeight="1" x14ac:dyDescent="0.25">
      <c r="A11" s="72" t="s">
        <v>26</v>
      </c>
      <c r="B11" s="64" t="s">
        <v>27</v>
      </c>
      <c r="C11" s="65" t="s">
        <v>28</v>
      </c>
      <c r="D11" s="66" t="s">
        <v>29</v>
      </c>
      <c r="E11" s="66" t="s">
        <v>30</v>
      </c>
      <c r="F11" s="66" t="s">
        <v>31</v>
      </c>
      <c r="G11" s="66" t="s">
        <v>32</v>
      </c>
      <c r="H11" s="66" t="s">
        <v>33</v>
      </c>
      <c r="I11" s="66" t="s">
        <v>34</v>
      </c>
      <c r="J11" s="66" t="s">
        <v>35</v>
      </c>
      <c r="K11" s="66" t="s">
        <v>36</v>
      </c>
      <c r="L11" s="66" t="s">
        <v>37</v>
      </c>
      <c r="M11" s="66" t="s">
        <v>38</v>
      </c>
    </row>
    <row r="12" spans="1:255" ht="20.100000000000001" customHeight="1" x14ac:dyDescent="0.25">
      <c r="A12" s="72" t="s">
        <v>39</v>
      </c>
      <c r="B12" s="64" t="s">
        <v>40</v>
      </c>
      <c r="C12" s="65" t="s">
        <v>41</v>
      </c>
      <c r="D12" s="66" t="s">
        <v>29</v>
      </c>
      <c r="E12" s="66" t="s">
        <v>30</v>
      </c>
      <c r="F12" s="66" t="s">
        <v>31</v>
      </c>
      <c r="G12" s="66" t="s">
        <v>42</v>
      </c>
      <c r="H12" s="66" t="s">
        <v>33</v>
      </c>
      <c r="I12" s="66" t="s">
        <v>34</v>
      </c>
      <c r="J12" s="66" t="s">
        <v>35</v>
      </c>
      <c r="K12" s="66" t="s">
        <v>36</v>
      </c>
      <c r="L12" s="66" t="s">
        <v>43</v>
      </c>
      <c r="M12" s="66" t="s">
        <v>44</v>
      </c>
    </row>
    <row r="13" spans="1:255" ht="20.100000000000001" customHeight="1" x14ac:dyDescent="0.25">
      <c r="A13" s="72" t="s">
        <v>45</v>
      </c>
      <c r="B13" s="64" t="s">
        <v>46</v>
      </c>
      <c r="C13" s="65" t="s">
        <v>47</v>
      </c>
      <c r="D13" s="66" t="s">
        <v>29</v>
      </c>
      <c r="E13" s="66" t="s">
        <v>30</v>
      </c>
      <c r="F13" s="66" t="s">
        <v>31</v>
      </c>
      <c r="G13" s="66" t="s">
        <v>42</v>
      </c>
      <c r="H13" s="66" t="s">
        <v>33</v>
      </c>
      <c r="I13" s="66" t="s">
        <v>34</v>
      </c>
      <c r="J13" s="66" t="s">
        <v>35</v>
      </c>
      <c r="K13" s="66" t="s">
        <v>48</v>
      </c>
      <c r="L13" s="66" t="s">
        <v>49</v>
      </c>
      <c r="M13" s="66" t="s">
        <v>50</v>
      </c>
    </row>
    <row r="14" spans="1:255" ht="20.100000000000001" customHeight="1" x14ac:dyDescent="0.25">
      <c r="A14" s="72" t="s">
        <v>51</v>
      </c>
      <c r="B14" s="64" t="s">
        <v>52</v>
      </c>
      <c r="C14" s="65" t="s">
        <v>53</v>
      </c>
      <c r="D14" s="66" t="s">
        <v>54</v>
      </c>
      <c r="E14" s="66" t="s">
        <v>55</v>
      </c>
      <c r="F14" s="66" t="s">
        <v>56</v>
      </c>
      <c r="G14" s="66" t="s">
        <v>57</v>
      </c>
      <c r="H14" s="66" t="s">
        <v>58</v>
      </c>
      <c r="I14" s="66" t="s">
        <v>59</v>
      </c>
      <c r="J14" s="66" t="s">
        <v>60</v>
      </c>
      <c r="K14" s="66" t="s">
        <v>61</v>
      </c>
      <c r="L14" s="66" t="s">
        <v>62</v>
      </c>
      <c r="M14" s="66" t="s">
        <v>63</v>
      </c>
    </row>
    <row r="15" spans="1:255" ht="20.100000000000001" customHeight="1" x14ac:dyDescent="0.25">
      <c r="A15" s="72" t="s">
        <v>26</v>
      </c>
      <c r="B15" s="64" t="s">
        <v>64</v>
      </c>
      <c r="C15" s="65" t="s">
        <v>65</v>
      </c>
      <c r="D15" s="66" t="s">
        <v>66</v>
      </c>
      <c r="E15" s="66" t="s">
        <v>67</v>
      </c>
      <c r="F15" s="66" t="s">
        <v>31</v>
      </c>
      <c r="G15" s="66" t="s">
        <v>68</v>
      </c>
      <c r="H15" s="66" t="s">
        <v>69</v>
      </c>
      <c r="I15" s="66" t="s">
        <v>70</v>
      </c>
      <c r="J15" s="66" t="s">
        <v>71</v>
      </c>
      <c r="K15" s="66" t="s">
        <v>72</v>
      </c>
      <c r="L15" s="66" t="s">
        <v>73</v>
      </c>
      <c r="M15" s="66" t="s">
        <v>38</v>
      </c>
    </row>
    <row r="16" spans="1:255" ht="20.100000000000001" customHeight="1" x14ac:dyDescent="0.25">
      <c r="A16" s="72" t="s">
        <v>74</v>
      </c>
      <c r="B16" s="64" t="s">
        <v>75</v>
      </c>
      <c r="C16" s="65" t="s">
        <v>76</v>
      </c>
      <c r="D16" s="66" t="s">
        <v>66</v>
      </c>
      <c r="E16" s="66" t="s">
        <v>67</v>
      </c>
      <c r="F16" s="66" t="s">
        <v>31</v>
      </c>
      <c r="G16" s="66" t="s">
        <v>68</v>
      </c>
      <c r="H16" s="66" t="s">
        <v>77</v>
      </c>
      <c r="I16" s="66" t="s">
        <v>70</v>
      </c>
      <c r="J16" s="66" t="s">
        <v>71</v>
      </c>
      <c r="K16" s="66" t="s">
        <v>78</v>
      </c>
      <c r="L16" s="66" t="s">
        <v>79</v>
      </c>
      <c r="M16" s="66" t="s">
        <v>38</v>
      </c>
    </row>
    <row r="17" spans="1:13" ht="20.100000000000001" customHeight="1" x14ac:dyDescent="0.25">
      <c r="A17" s="72" t="s">
        <v>26</v>
      </c>
      <c r="B17" s="64" t="s">
        <v>80</v>
      </c>
      <c r="C17" s="65" t="s">
        <v>81</v>
      </c>
      <c r="D17" s="66" t="s">
        <v>66</v>
      </c>
      <c r="E17" s="66" t="s">
        <v>67</v>
      </c>
      <c r="F17" s="66" t="s">
        <v>31</v>
      </c>
      <c r="G17" s="66" t="s">
        <v>68</v>
      </c>
      <c r="H17" s="66" t="s">
        <v>69</v>
      </c>
      <c r="I17" s="66" t="s">
        <v>70</v>
      </c>
      <c r="J17" s="66" t="s">
        <v>71</v>
      </c>
      <c r="K17" s="66" t="s">
        <v>82</v>
      </c>
      <c r="L17" s="66" t="s">
        <v>83</v>
      </c>
      <c r="M17" s="66" t="s">
        <v>38</v>
      </c>
    </row>
    <row r="18" spans="1:13" ht="20.100000000000001" customHeight="1" x14ac:dyDescent="0.25">
      <c r="A18" s="72" t="s">
        <v>84</v>
      </c>
      <c r="B18" s="64" t="s">
        <v>85</v>
      </c>
      <c r="C18" s="65" t="s">
        <v>86</v>
      </c>
      <c r="D18" s="66" t="s">
        <v>66</v>
      </c>
      <c r="E18" s="66" t="s">
        <v>67</v>
      </c>
      <c r="F18" s="66" t="s">
        <v>31</v>
      </c>
      <c r="G18" s="66" t="s">
        <v>68</v>
      </c>
      <c r="H18" s="66" t="s">
        <v>77</v>
      </c>
      <c r="I18" s="66" t="s">
        <v>70</v>
      </c>
      <c r="J18" s="66" t="s">
        <v>71</v>
      </c>
      <c r="K18" s="66" t="s">
        <v>87</v>
      </c>
      <c r="L18" s="66" t="s">
        <v>88</v>
      </c>
      <c r="M18" s="66" t="s">
        <v>38</v>
      </c>
    </row>
    <row r="19" spans="1:13" ht="20.100000000000001" customHeight="1" x14ac:dyDescent="0.25">
      <c r="A19" s="72" t="s">
        <v>74</v>
      </c>
      <c r="B19" s="64" t="s">
        <v>89</v>
      </c>
      <c r="C19" s="65" t="s">
        <v>90</v>
      </c>
      <c r="D19" s="66" t="s">
        <v>66</v>
      </c>
      <c r="E19" s="66" t="s">
        <v>67</v>
      </c>
      <c r="F19" s="66" t="s">
        <v>31</v>
      </c>
      <c r="G19" s="66" t="s">
        <v>68</v>
      </c>
      <c r="H19" s="66" t="s">
        <v>77</v>
      </c>
      <c r="I19" s="66" t="s">
        <v>70</v>
      </c>
      <c r="J19" s="66" t="s">
        <v>71</v>
      </c>
      <c r="K19" s="66" t="s">
        <v>91</v>
      </c>
      <c r="L19" s="66" t="s">
        <v>92</v>
      </c>
      <c r="M19" s="66" t="s">
        <v>38</v>
      </c>
    </row>
    <row r="20" spans="1:13" ht="20.100000000000001" customHeight="1" x14ac:dyDescent="0.25">
      <c r="A20" s="63" t="s">
        <v>26</v>
      </c>
      <c r="B20" s="64" t="s">
        <v>27</v>
      </c>
      <c r="C20" s="65" t="s">
        <v>28</v>
      </c>
      <c r="D20" s="62" t="s">
        <v>29</v>
      </c>
      <c r="E20" s="62" t="s">
        <v>30</v>
      </c>
      <c r="F20" s="62" t="s">
        <v>31</v>
      </c>
      <c r="G20" s="62" t="s">
        <v>32</v>
      </c>
      <c r="H20" s="62" t="s">
        <v>33</v>
      </c>
      <c r="I20" s="62" t="s">
        <v>34</v>
      </c>
      <c r="J20" s="62" t="s">
        <v>35</v>
      </c>
      <c r="K20" s="62" t="s">
        <v>36</v>
      </c>
      <c r="L20" s="62" t="s">
        <v>37</v>
      </c>
      <c r="M20" s="62" t="s">
        <v>38</v>
      </c>
    </row>
    <row r="21" spans="1:13" ht="20.100000000000001" customHeight="1" x14ac:dyDescent="0.25">
      <c r="A21" s="63" t="s">
        <v>39</v>
      </c>
      <c r="B21" s="64" t="s">
        <v>40</v>
      </c>
      <c r="C21" s="65" t="s">
        <v>41</v>
      </c>
      <c r="D21" s="62" t="s">
        <v>29</v>
      </c>
      <c r="E21" s="62" t="s">
        <v>30</v>
      </c>
      <c r="F21" s="62" t="s">
        <v>31</v>
      </c>
      <c r="G21" s="62" t="s">
        <v>42</v>
      </c>
      <c r="H21" s="62" t="s">
        <v>33</v>
      </c>
      <c r="I21" s="62" t="s">
        <v>34</v>
      </c>
      <c r="J21" s="62" t="s">
        <v>35</v>
      </c>
      <c r="K21" s="62" t="s">
        <v>36</v>
      </c>
      <c r="L21" s="62" t="s">
        <v>43</v>
      </c>
      <c r="M21" s="62" t="s">
        <v>93</v>
      </c>
    </row>
    <row r="22" spans="1:13" ht="20.100000000000001" customHeight="1" x14ac:dyDescent="0.25">
      <c r="A22" s="63" t="s">
        <v>45</v>
      </c>
      <c r="B22" s="64" t="s">
        <v>46</v>
      </c>
      <c r="C22" s="65" t="s">
        <v>47</v>
      </c>
      <c r="D22" s="62" t="s">
        <v>29</v>
      </c>
      <c r="E22" s="62" t="s">
        <v>30</v>
      </c>
      <c r="F22" s="62" t="s">
        <v>31</v>
      </c>
      <c r="G22" s="62" t="s">
        <v>42</v>
      </c>
      <c r="H22" s="62" t="s">
        <v>33</v>
      </c>
      <c r="I22" s="62" t="s">
        <v>34</v>
      </c>
      <c r="J22" s="62" t="s">
        <v>35</v>
      </c>
      <c r="K22" s="62" t="s">
        <v>94</v>
      </c>
      <c r="L22" s="62" t="s">
        <v>49</v>
      </c>
      <c r="M22" s="62" t="s">
        <v>50</v>
      </c>
    </row>
    <row r="23" spans="1:13" ht="20.100000000000001" customHeight="1" x14ac:dyDescent="0.25">
      <c r="A23" s="63" t="s">
        <v>51</v>
      </c>
      <c r="B23" s="64" t="s">
        <v>52</v>
      </c>
      <c r="C23" s="65" t="s">
        <v>53</v>
      </c>
      <c r="D23" s="62" t="s">
        <v>54</v>
      </c>
      <c r="E23" s="62" t="s">
        <v>55</v>
      </c>
      <c r="F23" s="62" t="s">
        <v>56</v>
      </c>
      <c r="G23" s="62" t="s">
        <v>57</v>
      </c>
      <c r="H23" s="62" t="s">
        <v>58</v>
      </c>
      <c r="I23" s="62" t="s">
        <v>59</v>
      </c>
      <c r="J23" s="62" t="s">
        <v>60</v>
      </c>
      <c r="K23" s="62" t="s">
        <v>61</v>
      </c>
      <c r="L23" s="62" t="s">
        <v>62</v>
      </c>
      <c r="M23" s="62" t="s">
        <v>63</v>
      </c>
    </row>
    <row r="24" spans="1:13" ht="20.100000000000001" customHeight="1" x14ac:dyDescent="0.25">
      <c r="A24" s="63" t="s">
        <v>26</v>
      </c>
      <c r="B24" s="64" t="s">
        <v>64</v>
      </c>
      <c r="C24" s="65" t="s">
        <v>65</v>
      </c>
      <c r="D24" s="62" t="s">
        <v>66</v>
      </c>
      <c r="E24" s="62" t="s">
        <v>67</v>
      </c>
      <c r="F24" s="62" t="s">
        <v>31</v>
      </c>
      <c r="G24" s="62" t="s">
        <v>68</v>
      </c>
      <c r="H24" s="62" t="s">
        <v>69</v>
      </c>
      <c r="I24" s="62" t="s">
        <v>70</v>
      </c>
      <c r="J24" s="62" t="s">
        <v>71</v>
      </c>
      <c r="K24" s="62" t="s">
        <v>95</v>
      </c>
      <c r="L24" s="62" t="s">
        <v>73</v>
      </c>
      <c r="M24" s="62" t="s">
        <v>38</v>
      </c>
    </row>
    <row r="25" spans="1:13" ht="20.100000000000001" customHeight="1" x14ac:dyDescent="0.25">
      <c r="A25" s="63" t="s">
        <v>26</v>
      </c>
      <c r="B25" s="64" t="s">
        <v>80</v>
      </c>
      <c r="C25" s="65" t="s">
        <v>81</v>
      </c>
      <c r="D25" s="62" t="s">
        <v>66</v>
      </c>
      <c r="E25" s="62" t="s">
        <v>67</v>
      </c>
      <c r="F25" s="62" t="s">
        <v>31</v>
      </c>
      <c r="G25" s="62" t="s">
        <v>68</v>
      </c>
      <c r="H25" s="62" t="s">
        <v>69</v>
      </c>
      <c r="I25" s="62" t="s">
        <v>70</v>
      </c>
      <c r="J25" s="62" t="s">
        <v>71</v>
      </c>
      <c r="K25" s="62" t="s">
        <v>82</v>
      </c>
      <c r="L25" s="62" t="s">
        <v>83</v>
      </c>
      <c r="M25" s="62" t="s">
        <v>38</v>
      </c>
    </row>
    <row r="26" spans="1:13" ht="20.100000000000001" customHeight="1" x14ac:dyDescent="0.25">
      <c r="A26" s="60">
        <v>46231</v>
      </c>
      <c r="B26" s="64" t="s">
        <v>96</v>
      </c>
      <c r="C26" s="65" t="s">
        <v>97</v>
      </c>
      <c r="D26" s="62" t="s">
        <v>98</v>
      </c>
      <c r="E26" s="62" t="s">
        <v>55</v>
      </c>
      <c r="F26" s="62" t="s">
        <v>99</v>
      </c>
      <c r="G26" s="62" t="s">
        <v>100</v>
      </c>
      <c r="H26" s="62" t="s">
        <v>101</v>
      </c>
      <c r="I26" s="62" t="s">
        <v>102</v>
      </c>
      <c r="J26" s="62" t="s">
        <v>103</v>
      </c>
      <c r="K26" s="62" t="s">
        <v>104</v>
      </c>
      <c r="L26" s="62" t="s">
        <v>105</v>
      </c>
      <c r="M26" s="62" t="s">
        <v>106</v>
      </c>
    </row>
    <row r="27" spans="1:13" ht="20.100000000000001" customHeight="1" x14ac:dyDescent="0.25">
      <c r="A27" s="58">
        <v>46232</v>
      </c>
      <c r="B27" s="64" t="s">
        <v>107</v>
      </c>
      <c r="C27" s="65" t="s">
        <v>108</v>
      </c>
      <c r="D27" s="62" t="s">
        <v>109</v>
      </c>
      <c r="E27" s="62" t="s">
        <v>110</v>
      </c>
      <c r="F27" s="62" t="s">
        <v>111</v>
      </c>
      <c r="G27" s="62" t="s">
        <v>112</v>
      </c>
      <c r="H27" s="62" t="s">
        <v>113</v>
      </c>
      <c r="I27" s="62" t="s">
        <v>59</v>
      </c>
      <c r="J27" s="62" t="s">
        <v>114</v>
      </c>
      <c r="K27" s="62" t="s">
        <v>115</v>
      </c>
      <c r="L27" s="62" t="s">
        <v>83</v>
      </c>
      <c r="M27" s="62" t="s">
        <v>116</v>
      </c>
    </row>
    <row r="28" spans="1:13" ht="20.100000000000001" customHeight="1" x14ac:dyDescent="0.25">
      <c r="A28" s="57">
        <v>46232</v>
      </c>
      <c r="B28" s="64" t="s">
        <v>80</v>
      </c>
      <c r="C28" s="65" t="s">
        <v>81</v>
      </c>
      <c r="D28" s="62" t="s">
        <v>66</v>
      </c>
      <c r="E28" s="62" t="s">
        <v>67</v>
      </c>
      <c r="F28" s="62" t="s">
        <v>31</v>
      </c>
      <c r="G28" s="62" t="s">
        <v>68</v>
      </c>
      <c r="H28" s="62" t="s">
        <v>69</v>
      </c>
      <c r="I28" s="62" t="s">
        <v>70</v>
      </c>
      <c r="J28" s="62" t="s">
        <v>71</v>
      </c>
      <c r="K28" s="62" t="s">
        <v>82</v>
      </c>
      <c r="L28" s="62" t="s">
        <v>83</v>
      </c>
      <c r="M28" s="62" t="s">
        <v>116</v>
      </c>
    </row>
    <row r="29" spans="1:13" ht="20.100000000000001" customHeight="1" x14ac:dyDescent="0.25">
      <c r="A29" s="56">
        <v>46231</v>
      </c>
      <c r="B29" s="64" t="s">
        <v>117</v>
      </c>
      <c r="C29" s="65" t="s">
        <v>118</v>
      </c>
      <c r="D29" s="62" t="s">
        <v>119</v>
      </c>
      <c r="E29" s="62" t="s">
        <v>120</v>
      </c>
      <c r="F29" s="62" t="s">
        <v>121</v>
      </c>
      <c r="G29" s="62" t="s">
        <v>122</v>
      </c>
      <c r="H29" s="62" t="s">
        <v>123</v>
      </c>
      <c r="I29" s="62" t="s">
        <v>59</v>
      </c>
      <c r="J29" s="62" t="s">
        <v>124</v>
      </c>
      <c r="K29" s="62" t="s">
        <v>125</v>
      </c>
      <c r="L29" s="62" t="s">
        <v>126</v>
      </c>
      <c r="M29" s="62" t="s">
        <v>127</v>
      </c>
    </row>
    <row r="30" spans="1:13" ht="20.100000000000001" customHeight="1" x14ac:dyDescent="0.25">
      <c r="A30" s="55">
        <v>46230</v>
      </c>
      <c r="B30" s="64" t="s">
        <v>128</v>
      </c>
      <c r="C30" s="65" t="s">
        <v>129</v>
      </c>
      <c r="D30" s="62" t="s">
        <v>29</v>
      </c>
      <c r="E30" s="62" t="s">
        <v>130</v>
      </c>
      <c r="F30" s="62" t="s">
        <v>131</v>
      </c>
      <c r="G30" s="62" t="s">
        <v>132</v>
      </c>
      <c r="H30" s="62" t="s">
        <v>133</v>
      </c>
      <c r="I30" s="62" t="s">
        <v>34</v>
      </c>
      <c r="J30" s="62">
        <v>2096</v>
      </c>
      <c r="K30" s="62" t="s">
        <v>134</v>
      </c>
      <c r="L30" s="62" t="s">
        <v>135</v>
      </c>
      <c r="M30" s="62" t="s">
        <v>38</v>
      </c>
    </row>
    <row r="31" spans="1:13" ht="20.100000000000001" customHeight="1" x14ac:dyDescent="0.25">
      <c r="A31" s="47">
        <v>46225</v>
      </c>
      <c r="B31" s="64" t="s">
        <v>136</v>
      </c>
      <c r="C31" s="65" t="s">
        <v>137</v>
      </c>
      <c r="D31" s="62" t="s">
        <v>138</v>
      </c>
      <c r="E31" s="62" t="s">
        <v>67</v>
      </c>
      <c r="F31" s="62" t="s">
        <v>31</v>
      </c>
      <c r="G31" s="62" t="s">
        <v>139</v>
      </c>
      <c r="H31" s="62" t="s">
        <v>69</v>
      </c>
      <c r="I31" s="62" t="s">
        <v>70</v>
      </c>
      <c r="J31" s="62" t="s">
        <v>71</v>
      </c>
      <c r="K31" s="62" t="s">
        <v>140</v>
      </c>
      <c r="L31" s="62" t="s">
        <v>141</v>
      </c>
      <c r="M31" s="62" t="s">
        <v>38</v>
      </c>
    </row>
    <row r="32" spans="1:13" ht="20.100000000000001" customHeight="1" x14ac:dyDescent="0.25">
      <c r="A32" s="46">
        <v>46225</v>
      </c>
      <c r="B32" s="64" t="s">
        <v>142</v>
      </c>
      <c r="C32" s="65" t="s">
        <v>143</v>
      </c>
      <c r="D32" s="62" t="s">
        <v>66</v>
      </c>
      <c r="E32" s="62" t="s">
        <v>67</v>
      </c>
      <c r="F32" s="62" t="s">
        <v>31</v>
      </c>
      <c r="G32" s="62" t="s">
        <v>68</v>
      </c>
      <c r="H32" s="62" t="s">
        <v>69</v>
      </c>
      <c r="I32" s="62" t="s">
        <v>70</v>
      </c>
      <c r="J32" s="62" t="s">
        <v>71</v>
      </c>
      <c r="K32" s="62" t="s">
        <v>144</v>
      </c>
      <c r="L32" s="62" t="s">
        <v>135</v>
      </c>
      <c r="M32" s="62" t="s">
        <v>145</v>
      </c>
    </row>
    <row r="33" spans="1:13" ht="20.100000000000001" customHeight="1" x14ac:dyDescent="0.25">
      <c r="A33" s="45">
        <v>46226</v>
      </c>
      <c r="B33" s="64" t="s">
        <v>146</v>
      </c>
      <c r="C33" s="65" t="s">
        <v>147</v>
      </c>
      <c r="D33" s="62" t="s">
        <v>66</v>
      </c>
      <c r="E33" s="62" t="s">
        <v>67</v>
      </c>
      <c r="F33" s="62" t="s">
        <v>131</v>
      </c>
      <c r="G33" s="62" t="s">
        <v>139</v>
      </c>
      <c r="H33" s="62" t="s">
        <v>69</v>
      </c>
      <c r="I33" s="62" t="s">
        <v>70</v>
      </c>
      <c r="J33" s="62" t="s">
        <v>71</v>
      </c>
      <c r="K33" s="62" t="s">
        <v>148</v>
      </c>
      <c r="L33" s="62" t="s">
        <v>149</v>
      </c>
      <c r="M33" s="62" t="s">
        <v>38</v>
      </c>
    </row>
    <row r="34" spans="1:13" ht="20.100000000000001" customHeight="1" x14ac:dyDescent="0.25">
      <c r="A34" s="44">
        <v>46225</v>
      </c>
      <c r="B34" s="64" t="s">
        <v>150</v>
      </c>
      <c r="C34" s="65" t="s">
        <v>151</v>
      </c>
      <c r="D34" s="62" t="s">
        <v>66</v>
      </c>
      <c r="E34" s="62" t="s">
        <v>67</v>
      </c>
      <c r="F34" s="62" t="s">
        <v>31</v>
      </c>
      <c r="G34" s="62" t="s">
        <v>68</v>
      </c>
      <c r="H34" s="62" t="s">
        <v>69</v>
      </c>
      <c r="I34" s="62" t="s">
        <v>70</v>
      </c>
      <c r="J34" s="62" t="s">
        <v>71</v>
      </c>
      <c r="K34" s="62" t="s">
        <v>144</v>
      </c>
      <c r="L34" s="62" t="s">
        <v>135</v>
      </c>
      <c r="M34" s="62" t="s">
        <v>145</v>
      </c>
    </row>
    <row r="35" spans="1:13" ht="20.100000000000001" customHeight="1" x14ac:dyDescent="0.25">
      <c r="A35" s="43">
        <v>46227</v>
      </c>
      <c r="B35" s="64" t="s">
        <v>152</v>
      </c>
      <c r="C35" s="65" t="s">
        <v>153</v>
      </c>
      <c r="D35" s="62" t="s">
        <v>29</v>
      </c>
      <c r="E35" s="62" t="s">
        <v>130</v>
      </c>
      <c r="F35" s="62" t="s">
        <v>31</v>
      </c>
      <c r="G35" s="62" t="s">
        <v>42</v>
      </c>
      <c r="H35" s="62" t="s">
        <v>33</v>
      </c>
      <c r="I35" s="62" t="s">
        <v>34</v>
      </c>
      <c r="J35" s="62" t="s">
        <v>35</v>
      </c>
      <c r="K35" s="62" t="s">
        <v>154</v>
      </c>
      <c r="L35" s="62" t="s">
        <v>155</v>
      </c>
      <c r="M35" s="62" t="s">
        <v>156</v>
      </c>
    </row>
    <row r="36" spans="1:13" ht="20.100000000000001" customHeight="1" x14ac:dyDescent="0.25">
      <c r="A36" s="40">
        <v>46220</v>
      </c>
      <c r="B36" s="64" t="s">
        <v>157</v>
      </c>
      <c r="C36" s="65" t="s">
        <v>158</v>
      </c>
      <c r="D36" s="62" t="s">
        <v>138</v>
      </c>
      <c r="E36" s="62" t="s">
        <v>67</v>
      </c>
      <c r="F36" s="62" t="s">
        <v>31</v>
      </c>
      <c r="G36" s="62" t="s">
        <v>68</v>
      </c>
      <c r="H36" s="62" t="s">
        <v>69</v>
      </c>
      <c r="I36" s="62" t="s">
        <v>70</v>
      </c>
      <c r="J36" s="62" t="s">
        <v>71</v>
      </c>
      <c r="K36" s="62" t="s">
        <v>36</v>
      </c>
      <c r="L36" s="62" t="s">
        <v>159</v>
      </c>
      <c r="M36" s="62" t="s">
        <v>160</v>
      </c>
    </row>
    <row r="37" spans="1:13" ht="20.100000000000001" customHeight="1" x14ac:dyDescent="0.25">
      <c r="A37" s="39">
        <v>46218</v>
      </c>
      <c r="B37" s="64" t="s">
        <v>161</v>
      </c>
      <c r="C37" s="65" t="s">
        <v>162</v>
      </c>
      <c r="D37" s="62" t="s">
        <v>138</v>
      </c>
      <c r="E37" s="62" t="s">
        <v>67</v>
      </c>
      <c r="F37" s="62" t="s">
        <v>31</v>
      </c>
      <c r="G37" s="62" t="s">
        <v>68</v>
      </c>
      <c r="H37" s="62" t="s">
        <v>69</v>
      </c>
      <c r="I37" s="62" t="s">
        <v>70</v>
      </c>
      <c r="J37" s="62" t="s">
        <v>71</v>
      </c>
      <c r="K37" s="62" t="s">
        <v>36</v>
      </c>
      <c r="L37" s="62" t="s">
        <v>163</v>
      </c>
      <c r="M37" s="62" t="s">
        <v>164</v>
      </c>
    </row>
    <row r="38" spans="1:13" ht="20.100000000000001" customHeight="1" x14ac:dyDescent="0.25">
      <c r="A38" s="38">
        <v>46218</v>
      </c>
      <c r="B38" s="64" t="s">
        <v>165</v>
      </c>
      <c r="C38" s="65" t="s">
        <v>166</v>
      </c>
      <c r="D38" s="62" t="s">
        <v>138</v>
      </c>
      <c r="E38" s="62" t="s">
        <v>67</v>
      </c>
      <c r="F38" s="62" t="s">
        <v>31</v>
      </c>
      <c r="G38" s="62" t="s">
        <v>68</v>
      </c>
      <c r="H38" s="62" t="s">
        <v>69</v>
      </c>
      <c r="I38" s="62" t="s">
        <v>70</v>
      </c>
      <c r="J38" s="62" t="s">
        <v>71</v>
      </c>
      <c r="K38" s="62" t="s">
        <v>36</v>
      </c>
      <c r="L38" s="62" t="s">
        <v>167</v>
      </c>
      <c r="M38" s="62" t="s">
        <v>38</v>
      </c>
    </row>
    <row r="39" spans="1:13" ht="20.100000000000001" customHeight="1" x14ac:dyDescent="0.25">
      <c r="A39" s="37">
        <v>46218</v>
      </c>
      <c r="B39" s="64" t="s">
        <v>168</v>
      </c>
      <c r="C39" s="65" t="s">
        <v>169</v>
      </c>
      <c r="D39" s="62" t="s">
        <v>66</v>
      </c>
      <c r="E39" s="62" t="s">
        <v>67</v>
      </c>
      <c r="F39" s="62" t="s">
        <v>31</v>
      </c>
      <c r="G39" s="62" t="s">
        <v>139</v>
      </c>
      <c r="H39" s="62" t="s">
        <v>69</v>
      </c>
      <c r="I39" s="62" t="s">
        <v>70</v>
      </c>
      <c r="J39" s="62" t="s">
        <v>71</v>
      </c>
      <c r="K39" s="62" t="s">
        <v>36</v>
      </c>
      <c r="L39" s="62" t="s">
        <v>170</v>
      </c>
      <c r="M39" s="62" t="s">
        <v>38</v>
      </c>
    </row>
    <row r="40" spans="1:13" ht="20.100000000000001" customHeight="1" x14ac:dyDescent="0.25">
      <c r="A40" s="36">
        <v>46218</v>
      </c>
      <c r="B40" s="64" t="s">
        <v>171</v>
      </c>
      <c r="C40" s="65" t="s">
        <v>172</v>
      </c>
      <c r="D40" s="62" t="s">
        <v>66</v>
      </c>
      <c r="E40" s="62" t="s">
        <v>67</v>
      </c>
      <c r="F40" s="62" t="s">
        <v>31</v>
      </c>
      <c r="G40" s="62" t="s">
        <v>68</v>
      </c>
      <c r="H40" s="62" t="s">
        <v>69</v>
      </c>
      <c r="I40" s="62" t="s">
        <v>70</v>
      </c>
      <c r="J40" s="62" t="s">
        <v>71</v>
      </c>
      <c r="K40" s="62" t="s">
        <v>36</v>
      </c>
      <c r="L40" s="62" t="s">
        <v>173</v>
      </c>
      <c r="M40" s="62" t="s">
        <v>38</v>
      </c>
    </row>
    <row r="41" spans="1:13" ht="20.100000000000001" customHeight="1" x14ac:dyDescent="0.25">
      <c r="A41" s="35">
        <v>46218</v>
      </c>
      <c r="B41" s="64" t="s">
        <v>146</v>
      </c>
      <c r="C41" s="65" t="s">
        <v>147</v>
      </c>
      <c r="D41" s="62" t="s">
        <v>66</v>
      </c>
      <c r="E41" s="62" t="s">
        <v>67</v>
      </c>
      <c r="F41" s="62" t="s">
        <v>31</v>
      </c>
      <c r="G41" s="62" t="s">
        <v>68</v>
      </c>
      <c r="H41" s="62" t="s">
        <v>69</v>
      </c>
      <c r="I41" s="62" t="s">
        <v>70</v>
      </c>
      <c r="J41" s="62" t="s">
        <v>71</v>
      </c>
      <c r="K41" s="62" t="s">
        <v>36</v>
      </c>
      <c r="L41" s="62" t="s">
        <v>149</v>
      </c>
      <c r="M41" s="62" t="s">
        <v>38</v>
      </c>
    </row>
    <row r="42" spans="1:13" ht="20.100000000000001" customHeight="1" x14ac:dyDescent="0.25">
      <c r="A42" s="34">
        <v>46217</v>
      </c>
      <c r="B42" s="64" t="s">
        <v>174</v>
      </c>
      <c r="C42" s="65" t="s">
        <v>175</v>
      </c>
      <c r="D42" s="62" t="s">
        <v>176</v>
      </c>
      <c r="E42" s="62" t="s">
        <v>120</v>
      </c>
      <c r="F42" s="62" t="s">
        <v>121</v>
      </c>
      <c r="G42" s="62" t="s">
        <v>177</v>
      </c>
      <c r="H42" s="62" t="s">
        <v>178</v>
      </c>
      <c r="I42" s="62" t="s">
        <v>59</v>
      </c>
      <c r="J42" s="62" t="s">
        <v>179</v>
      </c>
      <c r="K42" s="62" t="s">
        <v>134</v>
      </c>
      <c r="L42" s="62" t="s">
        <v>135</v>
      </c>
      <c r="M42" s="62" t="s">
        <v>180</v>
      </c>
    </row>
    <row r="43" spans="1:13" ht="20.100000000000001" customHeight="1" x14ac:dyDescent="0.25">
      <c r="A43" s="33">
        <v>46211</v>
      </c>
      <c r="B43" s="64" t="s">
        <v>181</v>
      </c>
      <c r="C43" s="65" t="s">
        <v>182</v>
      </c>
      <c r="D43" s="62" t="s">
        <v>66</v>
      </c>
      <c r="E43" s="62" t="s">
        <v>67</v>
      </c>
      <c r="F43" s="62" t="s">
        <v>31</v>
      </c>
      <c r="G43" s="62" t="s">
        <v>68</v>
      </c>
      <c r="H43" s="62" t="s">
        <v>183</v>
      </c>
      <c r="I43" s="62" t="s">
        <v>70</v>
      </c>
      <c r="J43" s="62" t="s">
        <v>71</v>
      </c>
      <c r="K43" s="62" t="s">
        <v>36</v>
      </c>
      <c r="L43" s="62" t="s">
        <v>184</v>
      </c>
      <c r="M43" s="62" t="s">
        <v>38</v>
      </c>
    </row>
    <row r="44" spans="1:13" ht="20.100000000000001" customHeight="1" x14ac:dyDescent="0.25">
      <c r="A44" s="32">
        <v>46202</v>
      </c>
      <c r="B44" s="64" t="s">
        <v>185</v>
      </c>
      <c r="C44" s="65" t="s">
        <v>186</v>
      </c>
      <c r="D44" s="62" t="s">
        <v>66</v>
      </c>
      <c r="E44" s="62" t="s">
        <v>67</v>
      </c>
      <c r="F44" s="62" t="s">
        <v>187</v>
      </c>
      <c r="G44" s="62" t="s">
        <v>139</v>
      </c>
      <c r="H44" s="62" t="s">
        <v>69</v>
      </c>
      <c r="I44" s="62" t="s">
        <v>70</v>
      </c>
      <c r="J44" s="62" t="s">
        <v>71</v>
      </c>
      <c r="K44" s="62" t="s">
        <v>36</v>
      </c>
      <c r="L44" s="62" t="s">
        <v>188</v>
      </c>
      <c r="M44" s="62" t="s">
        <v>38</v>
      </c>
    </row>
    <row r="45" spans="1:13" ht="20.100000000000001" customHeight="1" x14ac:dyDescent="0.25">
      <c r="A45" s="31">
        <v>46199</v>
      </c>
      <c r="B45" s="64" t="s">
        <v>189</v>
      </c>
      <c r="C45" s="65" t="s">
        <v>190</v>
      </c>
      <c r="D45" s="62" t="s">
        <v>66</v>
      </c>
      <c r="E45" s="62" t="s">
        <v>67</v>
      </c>
      <c r="F45" s="62" t="s">
        <v>99</v>
      </c>
      <c r="G45" s="62" t="s">
        <v>68</v>
      </c>
      <c r="H45" s="62" t="s">
        <v>69</v>
      </c>
      <c r="I45" s="62" t="s">
        <v>70</v>
      </c>
      <c r="J45" s="62" t="s">
        <v>71</v>
      </c>
      <c r="K45" s="62" t="s">
        <v>36</v>
      </c>
      <c r="L45" s="62" t="s">
        <v>191</v>
      </c>
      <c r="M45" s="62" t="s">
        <v>38</v>
      </c>
    </row>
    <row r="46" spans="1:13" ht="20.100000000000001" customHeight="1" x14ac:dyDescent="0.25">
      <c r="A46" s="30">
        <v>46198</v>
      </c>
      <c r="B46" s="64" t="s">
        <v>192</v>
      </c>
      <c r="C46" s="65" t="s">
        <v>193</v>
      </c>
      <c r="D46" s="62" t="s">
        <v>138</v>
      </c>
      <c r="E46" s="62" t="s">
        <v>67</v>
      </c>
      <c r="F46" s="62" t="s">
        <v>187</v>
      </c>
      <c r="G46" s="62" t="s">
        <v>68</v>
      </c>
      <c r="H46" s="62" t="s">
        <v>69</v>
      </c>
      <c r="I46" s="62" t="s">
        <v>70</v>
      </c>
      <c r="J46" s="62" t="s">
        <v>71</v>
      </c>
      <c r="K46" s="62" t="s">
        <v>36</v>
      </c>
      <c r="L46" s="62" t="s">
        <v>194</v>
      </c>
      <c r="M46" s="62" t="s">
        <v>38</v>
      </c>
    </row>
    <row r="47" spans="1:13" ht="20.100000000000001" customHeight="1" x14ac:dyDescent="0.25">
      <c r="A47" s="29">
        <v>46196</v>
      </c>
      <c r="B47" s="64" t="s">
        <v>195</v>
      </c>
      <c r="C47" s="65" t="s">
        <v>196</v>
      </c>
      <c r="D47" s="62" t="s">
        <v>138</v>
      </c>
      <c r="E47" s="62" t="s">
        <v>67</v>
      </c>
      <c r="F47" s="62" t="s">
        <v>187</v>
      </c>
      <c r="G47" s="62" t="s">
        <v>68</v>
      </c>
      <c r="H47" s="62" t="s">
        <v>69</v>
      </c>
      <c r="I47" s="62" t="s">
        <v>70</v>
      </c>
      <c r="J47" s="62" t="s">
        <v>71</v>
      </c>
      <c r="K47" s="62" t="s">
        <v>36</v>
      </c>
      <c r="L47" s="62" t="s">
        <v>197</v>
      </c>
      <c r="M47" s="62" t="s">
        <v>198</v>
      </c>
    </row>
    <row r="48" spans="1:13" ht="20.100000000000001" customHeight="1" x14ac:dyDescent="0.25">
      <c r="A48" s="28">
        <v>46196</v>
      </c>
      <c r="B48" s="64" t="s">
        <v>199</v>
      </c>
      <c r="C48" s="65" t="s">
        <v>200</v>
      </c>
      <c r="D48" s="62" t="s">
        <v>201</v>
      </c>
      <c r="E48" s="62" t="s">
        <v>202</v>
      </c>
      <c r="F48" s="62" t="s">
        <v>56</v>
      </c>
      <c r="G48" s="62" t="s">
        <v>203</v>
      </c>
      <c r="H48" s="62" t="s">
        <v>204</v>
      </c>
      <c r="I48" s="62" t="s">
        <v>59</v>
      </c>
      <c r="J48" s="62" t="s">
        <v>205</v>
      </c>
      <c r="K48" s="62" t="s">
        <v>36</v>
      </c>
      <c r="L48" s="62" t="s">
        <v>197</v>
      </c>
      <c r="M48" s="62" t="s">
        <v>198</v>
      </c>
    </row>
    <row r="49" spans="1:13" ht="20.100000000000001" customHeight="1" x14ac:dyDescent="0.25">
      <c r="A49" s="27">
        <v>46192</v>
      </c>
      <c r="B49" s="64" t="s">
        <v>206</v>
      </c>
      <c r="C49" s="65" t="s">
        <v>207</v>
      </c>
      <c r="D49" s="62" t="s">
        <v>54</v>
      </c>
      <c r="E49" s="62" t="s">
        <v>208</v>
      </c>
      <c r="F49" s="62" t="s">
        <v>56</v>
      </c>
      <c r="G49" s="62" t="s">
        <v>209</v>
      </c>
      <c r="H49" s="62" t="s">
        <v>210</v>
      </c>
      <c r="I49" s="62" t="s">
        <v>59</v>
      </c>
      <c r="J49" s="62" t="s">
        <v>211</v>
      </c>
      <c r="K49" s="62" t="s">
        <v>36</v>
      </c>
      <c r="L49" s="62" t="s">
        <v>212</v>
      </c>
      <c r="M49" s="62" t="s">
        <v>38</v>
      </c>
    </row>
    <row r="50" spans="1:13" ht="20.100000000000001" customHeight="1" x14ac:dyDescent="0.25">
      <c r="A50" s="26">
        <v>46191</v>
      </c>
      <c r="B50" s="64" t="s">
        <v>64</v>
      </c>
      <c r="C50" s="65" t="s">
        <v>65</v>
      </c>
      <c r="D50" s="62" t="s">
        <v>66</v>
      </c>
      <c r="E50" s="62" t="s">
        <v>67</v>
      </c>
      <c r="F50" s="62" t="s">
        <v>99</v>
      </c>
      <c r="G50" s="62" t="s">
        <v>139</v>
      </c>
      <c r="H50" s="62" t="s">
        <v>183</v>
      </c>
      <c r="I50" s="62" t="s">
        <v>70</v>
      </c>
      <c r="J50" s="62" t="s">
        <v>71</v>
      </c>
      <c r="K50" s="62" t="s">
        <v>36</v>
      </c>
      <c r="L50" s="62" t="s">
        <v>213</v>
      </c>
      <c r="M50" s="62" t="s">
        <v>38</v>
      </c>
    </row>
    <row r="51" spans="1:13" ht="20.100000000000001" customHeight="1" x14ac:dyDescent="0.25">
      <c r="A51" s="25">
        <v>46183</v>
      </c>
      <c r="B51" s="64" t="s">
        <v>214</v>
      </c>
      <c r="C51" s="65" t="s">
        <v>215</v>
      </c>
      <c r="D51" s="62" t="s">
        <v>66</v>
      </c>
      <c r="E51" s="62" t="s">
        <v>67</v>
      </c>
      <c r="F51" s="62" t="s">
        <v>99</v>
      </c>
      <c r="G51" s="62" t="s">
        <v>216</v>
      </c>
      <c r="H51" s="62" t="s">
        <v>183</v>
      </c>
      <c r="I51" s="62" t="s">
        <v>70</v>
      </c>
      <c r="J51" s="62" t="s">
        <v>71</v>
      </c>
      <c r="K51" s="62" t="s">
        <v>36</v>
      </c>
      <c r="L51" s="62" t="s">
        <v>217</v>
      </c>
      <c r="M51" s="62" t="s">
        <v>38</v>
      </c>
    </row>
    <row r="52" spans="1:13" ht="20.100000000000001" customHeight="1" x14ac:dyDescent="0.25">
      <c r="A52" s="24">
        <v>46183</v>
      </c>
      <c r="B52" s="64" t="s">
        <v>218</v>
      </c>
      <c r="C52" s="65" t="s">
        <v>219</v>
      </c>
      <c r="D52" s="62" t="s">
        <v>66</v>
      </c>
      <c r="E52" s="62" t="s">
        <v>67</v>
      </c>
      <c r="F52" s="62" t="s">
        <v>99</v>
      </c>
      <c r="G52" s="62" t="s">
        <v>139</v>
      </c>
      <c r="H52" s="62" t="s">
        <v>69</v>
      </c>
      <c r="I52" s="62" t="s">
        <v>70</v>
      </c>
      <c r="J52" s="62" t="s">
        <v>71</v>
      </c>
      <c r="K52" s="62" t="s">
        <v>36</v>
      </c>
      <c r="L52" s="62" t="s">
        <v>220</v>
      </c>
      <c r="M52" s="62" t="s">
        <v>38</v>
      </c>
    </row>
    <row r="53" spans="1:13" ht="20.100000000000001" customHeight="1" x14ac:dyDescent="0.25">
      <c r="A53" s="23">
        <v>46183</v>
      </c>
      <c r="B53" s="64" t="s">
        <v>221</v>
      </c>
      <c r="C53" s="65" t="s">
        <v>222</v>
      </c>
      <c r="D53" s="62" t="s">
        <v>138</v>
      </c>
      <c r="E53" s="62" t="s">
        <v>67</v>
      </c>
      <c r="F53" s="62" t="s">
        <v>99</v>
      </c>
      <c r="G53" s="62" t="s">
        <v>68</v>
      </c>
      <c r="H53" s="62" t="s">
        <v>69</v>
      </c>
      <c r="I53" s="62" t="s">
        <v>70</v>
      </c>
      <c r="J53" s="62" t="s">
        <v>71</v>
      </c>
      <c r="K53" s="62" t="s">
        <v>36</v>
      </c>
      <c r="L53" s="62" t="s">
        <v>223</v>
      </c>
      <c r="M53" s="62" t="s">
        <v>38</v>
      </c>
    </row>
    <row r="54" spans="1:13" ht="20.100000000000001" customHeight="1" x14ac:dyDescent="0.25">
      <c r="A54" s="22">
        <v>46181</v>
      </c>
      <c r="B54" s="64" t="s">
        <v>224</v>
      </c>
      <c r="C54" s="65" t="s">
        <v>225</v>
      </c>
      <c r="D54" s="62" t="s">
        <v>66</v>
      </c>
      <c r="E54" s="62" t="s">
        <v>67</v>
      </c>
      <c r="F54" s="62" t="s">
        <v>99</v>
      </c>
      <c r="G54" s="62" t="s">
        <v>139</v>
      </c>
      <c r="H54" s="62" t="s">
        <v>226</v>
      </c>
      <c r="I54" s="62" t="s">
        <v>70</v>
      </c>
      <c r="J54" s="62" t="s">
        <v>71</v>
      </c>
      <c r="K54" s="62" t="s">
        <v>36</v>
      </c>
      <c r="L54" s="62" t="s">
        <v>227</v>
      </c>
      <c r="M54" s="62" t="s">
        <v>106</v>
      </c>
    </row>
    <row r="55" spans="1:13" ht="20.100000000000001" customHeight="1" x14ac:dyDescent="0.25">
      <c r="A55" s="21">
        <v>46181</v>
      </c>
      <c r="B55" s="64" t="s">
        <v>228</v>
      </c>
      <c r="C55" s="65" t="s">
        <v>229</v>
      </c>
      <c r="D55" s="62" t="s">
        <v>230</v>
      </c>
      <c r="E55" s="62" t="s">
        <v>231</v>
      </c>
      <c r="F55" s="62" t="s">
        <v>232</v>
      </c>
      <c r="G55" s="62" t="s">
        <v>233</v>
      </c>
      <c r="H55" s="62" t="s">
        <v>234</v>
      </c>
      <c r="I55" s="62" t="s">
        <v>235</v>
      </c>
      <c r="J55" s="62" t="s">
        <v>103</v>
      </c>
      <c r="K55" s="62" t="s">
        <v>36</v>
      </c>
      <c r="L55" s="62" t="s">
        <v>236</v>
      </c>
      <c r="M55" s="62" t="s">
        <v>237</v>
      </c>
    </row>
    <row r="56" spans="1:13" ht="15.75" x14ac:dyDescent="0.25">
      <c r="A56" s="20">
        <v>46178</v>
      </c>
      <c r="B56" s="64" t="s">
        <v>238</v>
      </c>
      <c r="C56" s="65" t="s">
        <v>239</v>
      </c>
      <c r="D56" s="62" t="s">
        <v>240</v>
      </c>
      <c r="E56" s="62" t="s">
        <v>241</v>
      </c>
      <c r="F56" s="62" t="s">
        <v>99</v>
      </c>
      <c r="G56" s="62" t="s">
        <v>242</v>
      </c>
      <c r="H56" s="62" t="s">
        <v>243</v>
      </c>
      <c r="I56" s="62" t="s">
        <v>59</v>
      </c>
      <c r="J56" s="62" t="s">
        <v>244</v>
      </c>
      <c r="K56" s="62" t="s">
        <v>36</v>
      </c>
      <c r="L56" s="62" t="s">
        <v>245</v>
      </c>
      <c r="M56" s="62" t="s">
        <v>106</v>
      </c>
    </row>
    <row r="57" spans="1:13" ht="15.75" x14ac:dyDescent="0.25">
      <c r="A57" s="19">
        <v>46177</v>
      </c>
      <c r="B57" s="64" t="s">
        <v>96</v>
      </c>
      <c r="C57" s="65" t="s">
        <v>246</v>
      </c>
      <c r="D57" s="62" t="s">
        <v>98</v>
      </c>
      <c r="E57" s="62" t="s">
        <v>208</v>
      </c>
      <c r="F57" s="62" t="s">
        <v>99</v>
      </c>
      <c r="G57" s="62" t="s">
        <v>100</v>
      </c>
      <c r="H57" s="62" t="s">
        <v>247</v>
      </c>
      <c r="I57" s="62" t="s">
        <v>248</v>
      </c>
      <c r="J57" s="62" t="s">
        <v>103</v>
      </c>
      <c r="K57" s="62" t="s">
        <v>36</v>
      </c>
      <c r="L57" s="62" t="s">
        <v>227</v>
      </c>
      <c r="M57" s="62" t="s">
        <v>106</v>
      </c>
    </row>
    <row r="58" spans="1:13" ht="15.75" x14ac:dyDescent="0.25">
      <c r="A58" s="18">
        <v>46178</v>
      </c>
      <c r="B58" s="64" t="s">
        <v>249</v>
      </c>
      <c r="C58" s="65" t="s">
        <v>250</v>
      </c>
      <c r="D58" s="62" t="s">
        <v>138</v>
      </c>
      <c r="E58" s="62" t="s">
        <v>251</v>
      </c>
      <c r="F58" s="62" t="s">
        <v>99</v>
      </c>
      <c r="G58" s="62" t="s">
        <v>68</v>
      </c>
      <c r="H58" s="62" t="s">
        <v>252</v>
      </c>
      <c r="I58" s="62" t="s">
        <v>70</v>
      </c>
      <c r="J58" s="62" t="s">
        <v>71</v>
      </c>
      <c r="K58" s="62" t="s">
        <v>36</v>
      </c>
      <c r="L58" s="62" t="s">
        <v>253</v>
      </c>
      <c r="M58" s="62" t="s">
        <v>254</v>
      </c>
    </row>
    <row r="59" spans="1:13" ht="15.75" x14ac:dyDescent="0.25">
      <c r="A59" s="17">
        <v>46178</v>
      </c>
      <c r="B59" s="64" t="s">
        <v>255</v>
      </c>
      <c r="C59" s="65" t="s">
        <v>256</v>
      </c>
      <c r="D59" s="62" t="s">
        <v>257</v>
      </c>
      <c r="E59" s="62" t="s">
        <v>251</v>
      </c>
      <c r="F59" s="62" t="s">
        <v>99</v>
      </c>
      <c r="G59" s="62" t="s">
        <v>258</v>
      </c>
      <c r="H59" s="62" t="s">
        <v>69</v>
      </c>
      <c r="I59" s="62" t="s">
        <v>259</v>
      </c>
      <c r="J59" s="62" t="s">
        <v>260</v>
      </c>
      <c r="K59" s="62" t="s">
        <v>36</v>
      </c>
      <c r="L59" s="62" t="s">
        <v>227</v>
      </c>
      <c r="M59" s="62" t="s">
        <v>106</v>
      </c>
    </row>
    <row r="60" spans="1:13" ht="15.75" x14ac:dyDescent="0.25">
      <c r="A60" s="16">
        <v>46177</v>
      </c>
      <c r="B60" s="64" t="s">
        <v>261</v>
      </c>
      <c r="C60" s="65" t="s">
        <v>262</v>
      </c>
      <c r="D60" s="62" t="s">
        <v>263</v>
      </c>
      <c r="E60" s="62" t="s">
        <v>264</v>
      </c>
      <c r="F60" s="62" t="s">
        <v>265</v>
      </c>
      <c r="G60" s="62" t="s">
        <v>233</v>
      </c>
      <c r="H60" s="62" t="s">
        <v>266</v>
      </c>
      <c r="I60" s="62" t="s">
        <v>267</v>
      </c>
      <c r="J60" s="62" t="s">
        <v>268</v>
      </c>
      <c r="K60" s="62" t="s">
        <v>36</v>
      </c>
      <c r="L60" s="62" t="s">
        <v>269</v>
      </c>
      <c r="M60" s="62" t="s">
        <v>237</v>
      </c>
    </row>
    <row r="61" spans="1:13" ht="15.75" x14ac:dyDescent="0.25">
      <c r="A61" s="15">
        <v>46164</v>
      </c>
      <c r="B61" s="64" t="s">
        <v>270</v>
      </c>
      <c r="C61" s="65" t="s">
        <v>271</v>
      </c>
      <c r="D61" s="62" t="s">
        <v>138</v>
      </c>
      <c r="E61" s="62" t="s">
        <v>67</v>
      </c>
      <c r="F61" s="62" t="s">
        <v>99</v>
      </c>
      <c r="G61" s="62" t="s">
        <v>68</v>
      </c>
      <c r="H61" s="62" t="s">
        <v>69</v>
      </c>
      <c r="I61" s="62" t="s">
        <v>70</v>
      </c>
      <c r="J61" s="62" t="s">
        <v>36</v>
      </c>
      <c r="K61" s="62" t="s">
        <v>36</v>
      </c>
      <c r="L61" s="62" t="s">
        <v>272</v>
      </c>
      <c r="M61" s="62" t="s">
        <v>273</v>
      </c>
    </row>
    <row r="62" spans="1:13" ht="15.75" x14ac:dyDescent="0.25">
      <c r="A62" s="14">
        <v>46164</v>
      </c>
      <c r="B62" s="64" t="s">
        <v>274</v>
      </c>
      <c r="C62" s="65" t="s">
        <v>275</v>
      </c>
      <c r="D62" s="62" t="s">
        <v>138</v>
      </c>
      <c r="E62" s="62" t="s">
        <v>67</v>
      </c>
      <c r="F62" s="62" t="s">
        <v>99</v>
      </c>
      <c r="G62" s="62" t="s">
        <v>139</v>
      </c>
      <c r="H62" s="62" t="s">
        <v>69</v>
      </c>
      <c r="I62" s="62" t="s">
        <v>70</v>
      </c>
      <c r="J62" s="62" t="s">
        <v>36</v>
      </c>
      <c r="K62" s="62" t="s">
        <v>36</v>
      </c>
      <c r="L62" s="62" t="s">
        <v>276</v>
      </c>
      <c r="M62" s="62" t="s">
        <v>273</v>
      </c>
    </row>
    <row r="63" spans="1:13" ht="15.75" x14ac:dyDescent="0.25">
      <c r="A63" s="7">
        <v>46150</v>
      </c>
      <c r="B63" s="64" t="s">
        <v>277</v>
      </c>
      <c r="C63" s="65" t="s">
        <v>278</v>
      </c>
      <c r="D63" s="62" t="s">
        <v>66</v>
      </c>
      <c r="E63" s="62" t="s">
        <v>67</v>
      </c>
      <c r="F63" s="62" t="s">
        <v>99</v>
      </c>
      <c r="G63" s="62" t="s">
        <v>68</v>
      </c>
      <c r="H63" s="62" t="s">
        <v>279</v>
      </c>
      <c r="I63" s="62" t="s">
        <v>70</v>
      </c>
      <c r="J63" s="62" t="s">
        <v>36</v>
      </c>
      <c r="K63" s="62" t="s">
        <v>36</v>
      </c>
      <c r="L63" s="62" t="s">
        <v>280</v>
      </c>
      <c r="M63" s="62" t="s">
        <v>38</v>
      </c>
    </row>
    <row r="64" spans="1:13" ht="15.75" x14ac:dyDescent="0.25">
      <c r="A64" s="7">
        <v>46148</v>
      </c>
      <c r="B64" s="64" t="s">
        <v>281</v>
      </c>
      <c r="C64" s="65" t="s">
        <v>36</v>
      </c>
      <c r="D64" s="62" t="s">
        <v>282</v>
      </c>
      <c r="E64" s="62" t="s">
        <v>283</v>
      </c>
      <c r="F64" s="62" t="s">
        <v>265</v>
      </c>
      <c r="G64" s="62" t="s">
        <v>284</v>
      </c>
      <c r="H64" s="62" t="s">
        <v>285</v>
      </c>
      <c r="I64" s="62" t="s">
        <v>286</v>
      </c>
      <c r="J64" s="62" t="s">
        <v>287</v>
      </c>
      <c r="K64" s="62" t="s">
        <v>36</v>
      </c>
      <c r="L64" s="62" t="s">
        <v>269</v>
      </c>
      <c r="M64" s="62" t="s">
        <v>237</v>
      </c>
    </row>
  </sheetData>
  <mergeCells count="2">
    <mergeCell ref="A9:B9"/>
    <mergeCell ref="A1:XFD1"/>
  </mergeCells>
  <dataValidations count="18">
    <dataValidation allowBlank="1" showInputMessage="1" showErrorMessage="1" prompt="Накопленные проценты автоматически обновляются в этом столбце" sqref="M10" xr:uid="{00000000-0002-0000-0000-000000000000}">
      <formula1>0</formula1>
      <formula2>0</formula2>
    </dataValidation>
    <dataValidation allowBlank="1" showInputMessage="1" showErrorMessage="1" prompt="Конечный баланс автоматически обновляется в этом столбце" sqref="L10" xr:uid="{00000000-0002-0000-0000-000001000000}">
      <formula1>0</formula1>
      <formula2>0</formula2>
    </dataValidation>
    <dataValidation allowBlank="1" showInputMessage="1" showErrorMessage="1" prompt="Сумма процентов автоматически обновляется в этом столбце" sqref="I10" xr:uid="{00000000-0002-0000-0000-000002000000}">
      <formula1>0</formula1>
      <formula2>0</formula2>
    </dataValidation>
    <dataValidation allowBlank="1" showInputMessage="1" showErrorMessage="1" prompt="Основная сумма автоматически обновляется в этом столбце" sqref="H10" xr:uid="{00000000-0002-0000-0000-000003000000}">
      <formula1>0</formula1>
      <formula2>0</formula2>
    </dataValidation>
    <dataValidation allowBlank="1" showInputMessage="1" showErrorMessage="1" prompt="Общий платеж автоматически обновляется в этом столбце" sqref="G10" xr:uid="{00000000-0002-0000-0000-000004000000}">
      <formula1>0</formula1>
      <formula2>0</formula2>
    </dataValidation>
    <dataValidation allowBlank="1" showInputMessage="1" showErrorMessage="1" prompt="Дополнительный платеж автоматически обновляется в этом столбце" sqref="F10" xr:uid="{00000000-0002-0000-0000-000005000000}">
      <formula1>0</formula1>
      <formula2>0</formula2>
    </dataValidation>
    <dataValidation allowBlank="1" showInputMessage="1" showErrorMessage="1" prompt="Плановый платеж автоматически обновляется в этом столбце" sqref="E10" xr:uid="{00000000-0002-0000-0000-000006000000}">
      <formula1>0</formula1>
      <formula2>0</formula2>
    </dataValidation>
    <dataValidation allowBlank="1" showInputMessage="1" showErrorMessage="1" prompt="Начальный баланс автоматически обновляется в этом столбце" sqref="D10" xr:uid="{00000000-0002-0000-0000-000007000000}">
      <formula1>0</formula1>
      <formula2>0</formula2>
    </dataValidation>
    <dataValidation allowBlank="1" showInputMessage="1" showErrorMessage="1" prompt="Дата платежа автоматически обновляется в этом столбце" sqref="C10" xr:uid="{00000000-0002-0000-0000-000008000000}">
      <formula1>0</formula1>
      <formula2>0</formula2>
    </dataValidation>
    <dataValidation allowBlank="1" showInputMessage="1" showErrorMessage="1" prompt="Номер платежа автоматически обновляется в этом столбце" sqref="B10" xr:uid="{00000000-0002-0000-0000-000009000000}">
      <formula1>0</formula1>
      <formula2>0</formula2>
    </dataValidation>
    <dataValidation allowBlank="1" showInputMessage="1" showErrorMessage="1" prompt="Введите значения кредита в ячейках с E5 по E9 и данные о дополнительном платеже в ячейку E11. Описание каждого значения кредита находится в столбце E. Таблица &quot;График выплат&quot; начинается в ячейке G4 и обновляется автоматически." sqref="A3" xr:uid="{00000000-0002-0000-0000-00000A000000}">
      <formula1>0</formula1>
      <formula2>0</formula2>
    </dataValidation>
    <dataValidation allowBlank="1" showInputMessage="1" showErrorMessage="1" prompt="Поля со сведениями о кредите с I5 до I9 автоматически настраиваются в зависимости от значений, которые введены в ячейках E5–E9. Введите имя кредитора в ячейку I11._x000a__x000a_Описание каждого значения можно найти в столбце I." sqref="D3" xr:uid="{00000000-0002-0000-0000-00000B000000}">
      <formula1>0</formula1>
      <formula2>0</formula2>
    </dataValidation>
    <dataValidation allowBlank="1" showInputMessage="1" showErrorMessage="1" prompt="Эта ячейка содержит название листа._x000a__x000a_Введите сумму кредита в ячейки E5-E9, а дополнительные платежи в E11. Введите сведения о кредите в ячейки I5-K9, а имя кредитора в I11._x000a__x000a_Таблица расписания платежей обновляется автоматически." sqref="A2" xr:uid="{00000000-0002-0000-0000-00000C000000}">
      <formula1>0</formula1>
      <formula2>0</formula2>
    </dataValidation>
    <dataValidation allowBlank="1" showInputMessage="1" showErrorMessage="1" prompt="Введите в этой ячейке количество платежей, которое необходимо сделать за год" sqref="C7:D7" xr:uid="{00000000-0002-0000-0000-00000D000000}">
      <formula1>0</formula1>
      <formula2>0</formula2>
    </dataValidation>
    <dataValidation allowBlank="1" showInputMessage="1" showErrorMessage="1" prompt="Введите в этой ячейке период кредитования в годах" sqref="C6:D6" xr:uid="{00000000-0002-0000-0000-00000E000000}">
      <formula1>0</formula1>
      <formula2>0</formula2>
    </dataValidation>
    <dataValidation allowBlank="1" showInputMessage="1" showErrorMessage="1" prompt="Введите в этой ячейке процентную ставку для ежегодной оплаты" sqref="C5:D5" xr:uid="{00000000-0002-0000-0000-00000F000000}">
      <formula1>0</formula1>
      <formula2>0</formula2>
    </dataValidation>
    <dataValidation allowBlank="1" showInputMessage="1" showErrorMessage="1" prompt="Введите в этой ячейке сумму кредита" sqref="C4:D4" xr:uid="{00000000-0002-0000-0000-000010000000}">
      <formula1>0</formula1>
      <formula2>0</formula2>
    </dataValidation>
    <dataValidation allowBlank="1" showInputMessage="1" showErrorMessage="1" prompt="Введите сумму дополнительных платежей в этой ячейке" sqref="C9 E9" xr:uid="{00000000-0002-0000-0000-000011000000}">
      <formula1>0</formula1>
      <formula2>0</formula2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oio0133</dc:creator>
  <cp:lastModifiedBy>oio0133</cp:lastModifiedBy>
  <dcterms:created xsi:type="dcterms:W3CDTF">2026-05-04T07:55:28Z</dcterms:created>
  <dcterms:modified xsi:type="dcterms:W3CDTF">2026-08-10T05:07:11Z</dcterms:modified>
</cp:coreProperties>
</file>