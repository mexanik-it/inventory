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mai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61">
    <font>
      <name val="Calibri"/>
      <charset val="204"/>
      <family val="2"/>
      <color theme="1"/>
      <sz val="11"/>
      <scheme val="minor"/>
    </font>
    <font>
      <name val="Calibri"/>
      <family val="2"/>
      <b val="1"/>
      <color indexed="30"/>
      <sz val="16"/>
    </font>
    <font>
      <name val="Calibri"/>
      <family val="2"/>
      <b val="1"/>
      <color indexed="63"/>
      <sz val="14"/>
    </font>
    <font>
      <name val="Calibri"/>
      <family val="2"/>
      <i val="1"/>
      <color indexed="63"/>
      <sz val="11"/>
    </font>
    <font>
      <name val="Calibri"/>
      <family val="2"/>
      <sz val="11"/>
    </font>
    <font>
      <name val="Calibri"/>
      <family val="2"/>
      <b val="1"/>
      <color indexed="63"/>
      <sz val="12"/>
    </font>
    <font>
      <name val="Arial"/>
      <b val="1"/>
      <color indexed="60"/>
      <sz val="10"/>
    </font>
    <font>
      <name val="Arial"/>
      <b val="1"/>
      <color indexed="60"/>
      <sz val="10"/>
    </font>
    <font>
      <name val="Calibri"/>
      <charset val="204"/>
      <family val="2"/>
      <b val="1"/>
      <color indexed="57"/>
      <sz val="14"/>
    </font>
    <font>
      <name val="Calibri"/>
      <family val="2"/>
      <color indexed="53"/>
      <sz val="12"/>
    </font>
    <font>
      <name val="Calibri"/>
      <family val="2"/>
      <b val="1"/>
      <color indexed="53"/>
      <sz val="12"/>
    </font>
    <font>
      <name val="Play"/>
      <charset val="204"/>
      <b val="1"/>
      <color indexed="10"/>
      <sz val="11"/>
    </font>
    <font>
      <name val="Calibri"/>
      <family val="2"/>
      <b val="1"/>
      <color indexed="63"/>
      <sz val="12"/>
    </font>
    <font>
      <name val="Arial"/>
      <charset val="204"/>
      <family val="2"/>
      <b val="1"/>
      <color indexed="60"/>
      <sz val="12"/>
    </font>
    <font>
      <name val="Arial"/>
      <charset val="204"/>
      <family val="2"/>
      <b val="1"/>
      <color indexed="57"/>
      <sz val="12"/>
    </font>
    <font>
      <name val="Arial"/>
      <charset val="204"/>
      <family val="2"/>
      <b val="1"/>
      <color indexed="62"/>
      <sz val="11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b val="1"/>
      <sz val="12"/>
    </font>
    <font>
      <name val="Calibri"/>
      <family val="2"/>
      <b val="1"/>
      <color indexed="57"/>
      <sz val="24"/>
    </font>
    <font>
      <name val="Calibri"/>
      <sz val="12"/>
    </font>
    <font>
      <name val="Calibri"/>
      <b val="1"/>
      <color rgb="FFFF0000"/>
      <sz val="12"/>
    </font>
    <font>
      <name val="Calibri"/>
      <b val="1"/>
      <color rgb="FFFF8C00"/>
      <sz val="12"/>
    </font>
    <font>
      <name val="Calibri"/>
      <charset val="204"/>
      <family val="2"/>
      <b val="1"/>
      <sz val="12"/>
    </font>
    <font>
      <name val="Calibri"/>
      <b val="1"/>
      <color rgb="00FF0000"/>
      <sz val="12"/>
    </font>
    <font>
      <name val="Calibri"/>
      <b val="1"/>
      <color rgb="00FF8C00"/>
      <sz val="12"/>
    </font>
  </fonts>
  <fills count="6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57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2"/>
      </top>
      <bottom/>
      <diagonal/>
    </border>
    <border>
      <left/>
      <right/>
      <top style="medium">
        <color indexed="30"/>
      </top>
      <bottom style="medium">
        <color indexed="30"/>
      </bottom>
      <diagonal/>
    </border>
    <border>
      <left/>
      <right style="medium">
        <color indexed="23"/>
      </right>
      <top style="medium">
        <color indexed="30"/>
      </top>
      <bottom style="medium">
        <color indexed="30"/>
      </bottom>
      <diagonal/>
    </border>
    <border>
      <left style="medium">
        <color indexed="23"/>
      </left>
      <right style="medium">
        <color indexed="23"/>
      </right>
      <top style="medium">
        <color indexed="30"/>
      </top>
      <bottom style="medium">
        <color indexed="30"/>
      </bottom>
      <diagonal/>
    </border>
    <border>
      <left style="medium">
        <color indexed="23"/>
      </left>
      <right style="thin">
        <color indexed="64"/>
      </right>
      <top style="medium">
        <color indexed="30"/>
      </top>
      <bottom style="medium">
        <color indexed="30"/>
      </bottom>
      <diagonal/>
    </border>
    <border>
      <left style="thin">
        <color indexed="64"/>
      </left>
      <right/>
      <top style="medium">
        <color indexed="30"/>
      </top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80808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808080"/>
      </bottom>
    </border>
  </borders>
  <cellStyleXfs count="10">
    <xf numFmtId="0" fontId="0" fillId="0" borderId="0"/>
    <xf numFmtId="0" fontId="2" fillId="0" borderId="1" applyAlignment="1">
      <alignment vertical="center"/>
    </xf>
    <xf numFmtId="0" fontId="3" fillId="0" borderId="2" applyAlignment="1">
      <alignment vertical="center"/>
    </xf>
    <xf numFmtId="14" fontId="4" fillId="0" borderId="0"/>
    <xf numFmtId="0" fontId="1" fillId="0" borderId="0" applyAlignment="1">
      <alignment horizontal="left" vertical="center" wrapText="1" indent="1"/>
    </xf>
    <xf numFmtId="1" fontId="4" fillId="0" borderId="0"/>
    <xf numFmtId="0" fontId="4" fillId="3" borderId="0"/>
    <xf numFmtId="0" fontId="12" fillId="0" borderId="0" applyAlignment="1">
      <alignment horizontal="center" vertical="center" wrapText="1"/>
    </xf>
    <xf numFmtId="164" fontId="4" fillId="0" borderId="0"/>
    <xf numFmtId="164" fontId="4" fillId="0" borderId="0" applyAlignment="1">
      <alignment horizontal="right" indent="3"/>
    </xf>
  </cellStyleXfs>
  <cellXfs count="76">
    <xf numFmtId="0" fontId="0" fillId="0" borderId="0" pivotButton="0" quotePrefix="0" xfId="0"/>
    <xf numFmtId="0" fontId="6" fillId="4" borderId="0" applyAlignment="1" pivotButton="0" quotePrefix="0" xfId="0">
      <alignment vertical="center"/>
    </xf>
    <xf numFmtId="0" fontId="0" fillId="4" borderId="0" pivotButton="0" quotePrefix="0" xfId="0"/>
    <xf numFmtId="3" fontId="11" fillId="0" borderId="0" applyAlignment="1" pivotButton="0" quotePrefix="0" xfId="8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vertical="center"/>
    </xf>
    <xf numFmtId="0" fontId="14" fillId="4" borderId="0" applyAlignment="1" pivotButton="0" quotePrefix="0" xfId="0">
      <alignment vertical="center"/>
    </xf>
    <xf numFmtId="14" fontId="16" fillId="0" borderId="0" applyAlignment="1" pivotButton="0" quotePrefix="0" xfId="0">
      <alignment horizontal="center" vertical="center"/>
    </xf>
    <xf numFmtId="0" fontId="12" fillId="5" borderId="5" applyAlignment="1" pivotButton="0" quotePrefix="0" xfId="7">
      <alignment horizontal="center" vertical="center" wrapText="1"/>
    </xf>
    <xf numFmtId="0" fontId="12" fillId="5" borderId="6" applyAlignment="1" pivotButton="0" quotePrefix="0" xfId="7">
      <alignment horizontal="center" vertical="center" wrapText="1"/>
    </xf>
    <xf numFmtId="0" fontId="12" fillId="5" borderId="7" applyAlignment="1" pivotButton="0" quotePrefix="0" xfId="7">
      <alignment horizontal="center" vertical="center" wrapText="1"/>
    </xf>
    <xf numFmtId="0" fontId="5" fillId="5" borderId="8" applyAlignment="1" pivotButton="0" quotePrefix="0" xfId="7">
      <alignment horizontal="center" vertical="center" wrapText="1"/>
    </xf>
    <xf numFmtId="0" fontId="10" fillId="5" borderId="6" applyAlignment="1" pivotButton="0" quotePrefix="0" xfId="7">
      <alignment horizontal="center" vertical="center" wrapText="1"/>
    </xf>
    <xf numFmtId="0" fontId="9" fillId="4" borderId="4" applyAlignment="1" pivotButton="0" quotePrefix="0" xfId="0">
      <alignment horizontal="center" vertical="center"/>
    </xf>
    <xf numFmtId="14" fontId="17" fillId="0" borderId="3" applyAlignment="1" pivotButton="0" quotePrefix="0" xfId="0">
      <alignment horizontal="center" vertical="center"/>
    </xf>
    <xf numFmtId="14" fontId="18" fillId="0" borderId="3" applyAlignment="1" pivotButton="0" quotePrefix="0" xfId="0">
      <alignment horizontal="center" vertical="center"/>
    </xf>
    <xf numFmtId="14" fontId="19" fillId="0" borderId="3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/>
    </xf>
    <xf numFmtId="14" fontId="21" fillId="0" borderId="3" applyAlignment="1" pivotButton="0" quotePrefix="0" xfId="0">
      <alignment horizontal="center" vertical="center"/>
    </xf>
    <xf numFmtId="14" fontId="22" fillId="0" borderId="3" applyAlignment="1" pivotButton="0" quotePrefix="0" xfId="0">
      <alignment horizontal="center" vertical="center"/>
    </xf>
    <xf numFmtId="14" fontId="23" fillId="0" borderId="3" applyAlignment="1" pivotButton="0" quotePrefix="0" xfId="0">
      <alignment horizontal="center" vertical="center"/>
    </xf>
    <xf numFmtId="14" fontId="24" fillId="0" borderId="3" applyAlignment="1" pivotButton="0" quotePrefix="0" xfId="0">
      <alignment horizontal="center" vertical="center"/>
    </xf>
    <xf numFmtId="14" fontId="25" fillId="0" borderId="3" applyAlignment="1" pivotButton="0" quotePrefix="0" xfId="0">
      <alignment horizontal="center" vertical="center"/>
    </xf>
    <xf numFmtId="14" fontId="26" fillId="0" borderId="3" applyAlignment="1" pivotButton="0" quotePrefix="0" xfId="0">
      <alignment horizontal="center" vertical="center"/>
    </xf>
    <xf numFmtId="14" fontId="27" fillId="0" borderId="3" applyAlignment="1" pivotButton="0" quotePrefix="0" xfId="0">
      <alignment horizontal="center" vertical="center"/>
    </xf>
    <xf numFmtId="14" fontId="28" fillId="0" borderId="3" applyAlignment="1" pivotButton="0" quotePrefix="0" xfId="0">
      <alignment horizontal="center" vertical="center"/>
    </xf>
    <xf numFmtId="14" fontId="29" fillId="0" borderId="3" applyAlignment="1" pivotButton="0" quotePrefix="0" xfId="0">
      <alignment horizontal="center" vertical="center"/>
    </xf>
    <xf numFmtId="14" fontId="30" fillId="0" borderId="3" applyAlignment="1" pivotButton="0" quotePrefix="0" xfId="0">
      <alignment horizontal="center" vertical="center"/>
    </xf>
    <xf numFmtId="14" fontId="31" fillId="0" borderId="3" applyAlignment="1" pivotButton="0" quotePrefix="0" xfId="0">
      <alignment horizontal="center" vertical="center"/>
    </xf>
    <xf numFmtId="14" fontId="32" fillId="0" borderId="3" applyAlignment="1" pivotButton="0" quotePrefix="0" xfId="0">
      <alignment horizontal="center" vertical="center"/>
    </xf>
    <xf numFmtId="14" fontId="33" fillId="0" borderId="3" applyAlignment="1" pivotButton="0" quotePrefix="0" xfId="0">
      <alignment horizontal="center" vertical="center"/>
    </xf>
    <xf numFmtId="14" fontId="34" fillId="0" borderId="3" applyAlignment="1" pivotButton="0" quotePrefix="0" xfId="0">
      <alignment horizontal="center" vertical="center"/>
    </xf>
    <xf numFmtId="14" fontId="35" fillId="0" borderId="3" applyAlignment="1" pivotButton="0" quotePrefix="0" xfId="0">
      <alignment horizontal="center" vertical="center"/>
    </xf>
    <xf numFmtId="14" fontId="36" fillId="0" borderId="3" applyAlignment="1" pivotButton="0" quotePrefix="0" xfId="0">
      <alignment horizontal="center" vertical="center"/>
    </xf>
    <xf numFmtId="14" fontId="37" fillId="0" borderId="3" applyAlignment="1" pivotButton="0" quotePrefix="0" xfId="0">
      <alignment horizontal="center" vertical="center"/>
    </xf>
    <xf numFmtId="14" fontId="38" fillId="0" borderId="3" applyAlignment="1" pivotButton="0" quotePrefix="0" xfId="0">
      <alignment horizontal="center" vertical="center"/>
    </xf>
    <xf numFmtId="14" fontId="39" fillId="0" borderId="3" applyAlignment="1" pivotButton="0" quotePrefix="0" xfId="0">
      <alignment horizontal="center" vertical="center"/>
    </xf>
    <xf numFmtId="14" fontId="40" fillId="0" borderId="3" applyAlignment="1" pivotButton="0" quotePrefix="0" xfId="0">
      <alignment horizontal="center" vertical="center"/>
    </xf>
    <xf numFmtId="14" fontId="41" fillId="0" borderId="3" applyAlignment="1" pivotButton="0" quotePrefix="0" xfId="0">
      <alignment horizontal="center" vertical="center"/>
    </xf>
    <xf numFmtId="14" fontId="42" fillId="0" borderId="3" applyAlignment="1" pivotButton="0" quotePrefix="0" xfId="0">
      <alignment horizontal="center" vertical="center"/>
    </xf>
    <xf numFmtId="14" fontId="43" fillId="0" borderId="3" applyAlignment="1" pivotButton="0" quotePrefix="0" xfId="0">
      <alignment horizontal="center" vertical="center"/>
    </xf>
    <xf numFmtId="0" fontId="6" fillId="4" borderId="9" applyAlignment="1" pivotButton="0" quotePrefix="0" xfId="0">
      <alignment vertical="center"/>
    </xf>
    <xf numFmtId="0" fontId="6" fillId="4" borderId="9" applyAlignment="1" pivotButton="0" quotePrefix="0" xfId="0">
      <alignment horizontal="right" vertical="center" indent="2"/>
    </xf>
    <xf numFmtId="14" fontId="44" fillId="0" borderId="3" applyAlignment="1" pivotButton="0" quotePrefix="0" xfId="0">
      <alignment horizontal="center" vertical="center"/>
    </xf>
    <xf numFmtId="14" fontId="45" fillId="0" borderId="3" applyAlignment="1" pivotButton="0" quotePrefix="0" xfId="0">
      <alignment horizontal="center" vertical="center"/>
    </xf>
    <xf numFmtId="14" fontId="46" fillId="0" borderId="3" applyAlignment="1" pivotButton="0" quotePrefix="0" xfId="0">
      <alignment horizontal="center" vertical="center"/>
    </xf>
    <xf numFmtId="14" fontId="47" fillId="0" borderId="3" applyAlignment="1" pivotButton="0" quotePrefix="0" xfId="0">
      <alignment horizontal="center" vertical="center"/>
    </xf>
    <xf numFmtId="14" fontId="48" fillId="0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right" vertical="center" indent="1"/>
    </xf>
    <xf numFmtId="0" fontId="14" fillId="4" borderId="0" applyAlignment="1" pivotButton="0" quotePrefix="0" xfId="0">
      <alignment horizontal="right" vertical="center" indent="1"/>
    </xf>
    <xf numFmtId="0" fontId="6" fillId="4" borderId="9" applyAlignment="1" pivotButton="0" quotePrefix="0" xfId="0">
      <alignment horizontal="right" vertical="center" indent="1"/>
    </xf>
    <xf numFmtId="0" fontId="15" fillId="4" borderId="0" applyAlignment="1" pivotButton="0" quotePrefix="0" xfId="0">
      <alignment horizontal="right" vertical="center" indent="1"/>
    </xf>
    <xf numFmtId="0" fontId="0" fillId="0" borderId="0" applyAlignment="1" pivotButton="0" quotePrefix="0" xfId="0">
      <alignment horizontal="right" indent="1"/>
    </xf>
    <xf numFmtId="0" fontId="12" fillId="5" borderId="6" applyAlignment="1" pivotButton="0" quotePrefix="0" xfId="7">
      <alignment horizontal="right" vertical="center" wrapText="1" indent="1"/>
    </xf>
    <xf numFmtId="0" fontId="13" fillId="4" borderId="0" applyAlignment="1" pivotButton="0" quotePrefix="0" xfId="0">
      <alignment horizontal="right" vertical="center" indent="1"/>
    </xf>
    <xf numFmtId="14" fontId="49" fillId="0" borderId="3" applyAlignment="1" pivotButton="0" quotePrefix="0" xfId="0">
      <alignment horizontal="center" vertical="center"/>
    </xf>
    <xf numFmtId="14" fontId="50" fillId="0" borderId="3" applyAlignment="1" pivotButton="0" quotePrefix="0" xfId="0">
      <alignment horizontal="center" vertical="center"/>
    </xf>
    <xf numFmtId="14" fontId="51" fillId="0" borderId="3" applyAlignment="1" pivotButton="0" quotePrefix="0" xfId="0">
      <alignment horizontal="center" vertical="center"/>
    </xf>
    <xf numFmtId="14" fontId="52" fillId="0" borderId="3" applyAlignment="1" pivotButton="0" quotePrefix="0" xfId="0">
      <alignment horizontal="center" vertical="center"/>
    </xf>
    <xf numFmtId="14" fontId="53" fillId="0" borderId="3" applyAlignment="1" pivotButton="0" quotePrefix="0" xfId="0">
      <alignment horizontal="center" vertical="center"/>
    </xf>
    <xf numFmtId="0" fontId="54" fillId="4" borderId="0" applyAlignment="1" pivotButton="0" quotePrefix="0" xfId="0">
      <alignment horizontal="left" vertical="center"/>
    </xf>
    <xf numFmtId="0" fontId="55" fillId="0" borderId="11" applyAlignment="1" pivotButton="0" quotePrefix="0" xfId="0">
      <alignment horizontal="right" vertical="center"/>
    </xf>
    <xf numFmtId="0" fontId="58" fillId="0" borderId="11" applyAlignment="1" pivotButton="0" quotePrefix="0" xfId="0">
      <alignment horizontal="center" vertical="center"/>
    </xf>
    <xf numFmtId="0" fontId="56" fillId="0" borderId="11" applyAlignment="1" pivotButton="0" quotePrefix="0" xfId="0">
      <alignment horizontal="right" vertical="center"/>
    </xf>
    <xf numFmtId="0" fontId="57" fillId="0" borderId="11" applyAlignment="1" pivotButton="0" quotePrefix="0" xfId="0">
      <alignment horizontal="right" vertical="center"/>
    </xf>
    <xf numFmtId="0" fontId="55" fillId="0" borderId="12" applyAlignment="1" pivotButton="0" quotePrefix="0" xfId="0">
      <alignment horizontal="right" vertical="center"/>
    </xf>
    <xf numFmtId="0" fontId="58" fillId="0" borderId="12" applyAlignment="1" pivotButton="0" quotePrefix="0" xfId="0">
      <alignment horizontal="center" vertical="center"/>
    </xf>
    <xf numFmtId="0" fontId="8" fillId="0" borderId="10" applyAlignment="1" pivotButton="0" quotePrefix="0" xfId="2">
      <alignment horizontal="left" vertical="center"/>
    </xf>
    <xf numFmtId="0" fontId="0" fillId="0" borderId="10" pivotButton="0" quotePrefix="0" xfId="0"/>
    <xf numFmtId="0" fontId="7" fillId="2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indent="1"/>
    </xf>
    <xf numFmtId="0" fontId="55" fillId="0" borderId="13" applyAlignment="1" pivotButton="0" quotePrefix="0" xfId="0">
      <alignment horizontal="center" vertical="center"/>
    </xf>
    <xf numFmtId="0" fontId="59" fillId="0" borderId="13" applyAlignment="1" pivotButton="0" quotePrefix="0" xfId="0">
      <alignment horizontal="left" vertical="center"/>
    </xf>
    <xf numFmtId="0" fontId="60" fillId="0" borderId="13" applyAlignment="1" pivotButton="0" quotePrefix="0" xfId="0">
      <alignment horizontal="left" vertical="center"/>
    </xf>
    <xf numFmtId="0" fontId="55" fillId="0" borderId="13" applyAlignment="1" pivotButton="0" quotePrefix="0" xfId="0">
      <alignment horizontal="right" vertical="center"/>
    </xf>
  </cellXfs>
  <cellStyles count="10">
    <cellStyle name="Обычный" xfId="0" builtinId="0"/>
    <cellStyle name="Excel_BuiltIn_Заголовок 2" xfId="1"/>
    <cellStyle name="Excel_BuiltIn_Пояснение" xfId="2"/>
    <cellStyle name="Дата" xfId="3"/>
    <cellStyle name="Заголовок 4 с выравниванием по правому краю" xfId="4"/>
    <cellStyle name="Количество" xfId="5"/>
    <cellStyle name="Сведения о кредите" xfId="6"/>
    <cellStyle name="Стиль 6" xfId="7"/>
    <cellStyle name="Сумма" xfId="8"/>
    <cellStyle name="Сумма в таблице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92"/>
  <sheetViews>
    <sheetView tabSelected="1" topLeftCell="A2" workbookViewId="0">
      <pane ySplit="9" topLeftCell="A11" activePane="bottomLeft" state="frozen"/>
      <selection activeCell="A2" sqref="A2"/>
      <selection pane="bottomLeft" activeCell="A11" sqref="A11:XFD11"/>
    </sheetView>
  </sheetViews>
  <sheetFormatPr baseColWidth="8" defaultRowHeight="15"/>
  <cols>
    <col width="13.85546875" customWidth="1" style="70" min="1" max="1"/>
    <col width="16.28515625" customWidth="1" style="70" min="2" max="2"/>
    <col width="20" customWidth="1" style="70" min="3" max="3"/>
    <col width="32.7109375" customWidth="1" style="71" min="4" max="4"/>
    <col width="39" customWidth="1" style="71" min="5" max="5"/>
    <col width="12" customWidth="1" style="71" min="6" max="6"/>
    <col width="29.7109375" customWidth="1" style="71" min="7" max="7"/>
    <col width="19.28515625" customWidth="1" style="70" min="8" max="8"/>
    <col width="34.5703125" customWidth="1" style="70" min="9" max="9"/>
    <col width="15.5703125" customWidth="1" style="70" min="10" max="10"/>
    <col width="31.85546875" customWidth="1" style="70" min="11" max="11"/>
    <col width="13.42578125" customWidth="1" style="70" min="12" max="12"/>
    <col width="17" customWidth="1" style="70" min="13" max="13"/>
  </cols>
  <sheetData>
    <row r="1" hidden="1" ht="6.75" customHeight="1" s="70">
      <c r="A1" s="69" t="n"/>
    </row>
    <row r="2" ht="63.75" customFormat="1" customHeight="1" s="2">
      <c r="A2" s="60" t="inlineStr">
        <is>
          <t>Список компьютеров КБ №8</t>
        </is>
      </c>
      <c r="C2" s="4" t="n"/>
      <c r="D2" s="48" t="n"/>
      <c r="E2" s="48" t="n"/>
      <c r="F2" s="48" t="n"/>
      <c r="G2" s="48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</row>
    <row r="3" ht="15.75" customHeight="1" s="70">
      <c r="A3" s="6" t="inlineStr">
        <is>
          <t>Операционка:</t>
        </is>
      </c>
      <c r="B3" s="5" t="n"/>
      <c r="C3" s="5" t="n"/>
      <c r="D3" s="49" t="inlineStr">
        <is>
          <t>Железо:</t>
        </is>
      </c>
      <c r="E3" s="54" t="n"/>
      <c r="F3" s="48" t="n"/>
      <c r="G3" s="48" t="n"/>
      <c r="H3" s="1" t="n"/>
      <c r="I3" s="1" t="n"/>
      <c r="J3" s="1" t="n"/>
      <c r="K3" s="1" t="n"/>
      <c r="L3" s="1" t="n"/>
      <c r="M3" s="1" t="n"/>
    </row>
    <row r="4">
      <c r="A4" s="41" t="inlineStr">
        <is>
          <t>Alt-Linux 8</t>
        </is>
      </c>
      <c r="B4" s="42">
        <f>COUNTIF(I11:I1383, "*Workstation*8*")</f>
        <v/>
      </c>
      <c r="C4" s="1" t="n"/>
      <c r="D4" s="50" t="inlineStr">
        <is>
          <t>I5</t>
        </is>
      </c>
      <c r="E4" s="50">
        <f>COUNTIF(E11:E1383, "*i5*")</f>
        <v/>
      </c>
      <c r="F4" s="48" t="n"/>
      <c r="G4" s="48" t="n"/>
      <c r="H4" s="1" t="n"/>
      <c r="I4" s="1" t="n"/>
      <c r="J4" s="1" t="n"/>
      <c r="K4" s="1" t="n"/>
      <c r="L4" s="1" t="n"/>
      <c r="M4" s="1" t="n"/>
    </row>
    <row r="5">
      <c r="A5" s="41" t="inlineStr">
        <is>
          <t>Alt-Linux 9</t>
        </is>
      </c>
      <c r="B5" s="42">
        <f>COUNTIF(I11:I1383, "*Workstation*9*")</f>
        <v/>
      </c>
      <c r="C5" s="1" t="n"/>
      <c r="D5" s="50" t="inlineStr">
        <is>
          <t>I3</t>
        </is>
      </c>
      <c r="E5" s="50">
        <f>COUNTIF(E11:E1383, "*i3*")</f>
        <v/>
      </c>
      <c r="F5" s="48" t="n"/>
      <c r="G5" s="48" t="n"/>
      <c r="H5" s="1" t="n"/>
      <c r="I5" s="1" t="n"/>
      <c r="J5" s="1" t="n"/>
      <c r="K5" s="1" t="n"/>
      <c r="L5" s="1" t="n"/>
      <c r="M5" s="1" t="n"/>
    </row>
    <row r="6">
      <c r="A6" s="41" t="inlineStr">
        <is>
          <t>Windows 7</t>
        </is>
      </c>
      <c r="B6" s="42">
        <f>COUNTIF(I11:I1392, "*Windows*7*")</f>
        <v/>
      </c>
      <c r="C6" s="1" t="n"/>
      <c r="D6" s="50" t="inlineStr">
        <is>
          <t>i7</t>
        </is>
      </c>
      <c r="E6" s="50">
        <f>COUNTIF(E11:E1383, "*i7*")</f>
        <v/>
      </c>
      <c r="F6" s="48" t="n"/>
      <c r="G6" s="48" t="n"/>
      <c r="H6" s="1" t="n"/>
      <c r="I6" s="1" t="n"/>
      <c r="J6" s="1" t="n"/>
      <c r="K6" s="1" t="n"/>
      <c r="L6" s="1" t="n"/>
      <c r="M6" s="1" t="n"/>
    </row>
    <row r="7">
      <c r="A7" s="41" t="inlineStr">
        <is>
          <t>Windows 10</t>
        </is>
      </c>
      <c r="B7" s="42">
        <f>COUNTIF(I11:I1392, "*Windows*10*")</f>
        <v/>
      </c>
      <c r="C7" s="1" t="n"/>
      <c r="D7" s="50" t="inlineStr">
        <is>
          <t>AMD</t>
        </is>
      </c>
      <c r="E7" s="50">
        <f>COUNTIF(E11:E1383, "*AMD*")</f>
        <v/>
      </c>
      <c r="F7" s="48" t="n"/>
      <c r="G7" s="48" t="n"/>
      <c r="H7" s="1" t="n"/>
      <c r="I7" s="1" t="n"/>
      <c r="J7" s="1" t="n"/>
      <c r="K7" s="1" t="n"/>
      <c r="L7" s="1" t="n"/>
      <c r="M7" s="1" t="n"/>
    </row>
    <row r="8" ht="15.75" customHeight="1" s="70">
      <c r="A8" s="5" t="n"/>
      <c r="B8" s="5" t="n"/>
      <c r="C8" s="5" t="n"/>
      <c r="D8" s="51" t="n"/>
      <c r="E8" s="54" t="n"/>
      <c r="F8" s="48" t="n"/>
      <c r="G8" s="48" t="n"/>
      <c r="H8" s="1" t="n"/>
      <c r="I8" s="1" t="n"/>
      <c r="J8" s="1" t="n"/>
      <c r="K8" s="1" t="n"/>
      <c r="L8" s="1" t="n"/>
      <c r="M8" s="1" t="n"/>
    </row>
    <row r="9" ht="19.5" customHeight="1" s="70" thickBot="1">
      <c r="A9" s="67" t="inlineStr">
        <is>
          <t>Всего компьютеров:</t>
        </is>
      </c>
      <c r="B9" s="68" t="n"/>
      <c r="C9" s="3">
        <f>ROWS(B11:B1358)-COUNTIF(B11:B1358,"")</f>
        <v/>
      </c>
      <c r="E9" s="48" t="n"/>
      <c r="F9" s="48" t="n"/>
      <c r="G9" s="48" t="inlineStr">
        <is>
          <t>Всего:</t>
        </is>
      </c>
      <c r="H9" s="1" t="n"/>
      <c r="I9" s="1" t="n"/>
      <c r="J9" s="1" t="n"/>
      <c r="K9" s="1" t="n"/>
      <c r="L9" s="1" t="n"/>
      <c r="M9" s="1" t="n"/>
    </row>
    <row r="10" ht="25.5" customFormat="1" customHeight="1" s="13" thickBot="1">
      <c r="A10" s="8" t="inlineStr">
        <is>
          <t>date</t>
        </is>
      </c>
      <c r="B10" s="9" t="inlineStr">
        <is>
          <t>ip   address</t>
        </is>
      </c>
      <c r="C10" s="9" t="inlineStr">
        <is>
          <t>mac address</t>
        </is>
      </c>
      <c r="D10" s="53" t="inlineStr">
        <is>
          <t>mothrboard</t>
        </is>
      </c>
      <c r="E10" s="53" t="inlineStr">
        <is>
          <t>processor</t>
        </is>
      </c>
      <c r="F10" s="53" t="inlineStr">
        <is>
          <t>memory</t>
        </is>
      </c>
      <c r="G10" s="53" t="inlineStr">
        <is>
          <t>hard disk</t>
        </is>
      </c>
      <c r="H10" s="9" t="inlineStr">
        <is>
          <t>hard disk size</t>
        </is>
      </c>
      <c r="I10" s="9" t="inlineStr">
        <is>
          <t>operation system</t>
        </is>
      </c>
      <c r="J10" s="10" t="inlineStr">
        <is>
          <t>host-name</t>
        </is>
      </c>
      <c r="K10" s="10" t="inlineStr">
        <is>
          <t>printer</t>
        </is>
      </c>
      <c r="L10" s="11" t="inlineStr">
        <is>
          <t>room</t>
        </is>
      </c>
      <c r="M10" s="12" t="inlineStr">
        <is>
          <t>building</t>
        </is>
      </c>
    </row>
    <row r="11" ht="18" customHeight="1" s="70">
      <c r="A11" s="72" t="inlineStr">
        <is>
          <t>16.09.2026</t>
        </is>
      </c>
      <c r="B11" s="73" t="inlineStr">
        <is>
          <t>10.67.14.161</t>
        </is>
      </c>
      <c r="C11" s="74" t="inlineStr">
        <is>
          <t>18-C0-4D-CD-F2-E9</t>
        </is>
      </c>
      <c r="D11" s="75" t="inlineStr">
        <is>
          <t>Gigabyte H410M H V3</t>
        </is>
      </c>
      <c r="E11" s="75" t="inlineStr">
        <is>
          <t>Intel Core i3-10105 CPU 3.70GHz</t>
        </is>
      </c>
      <c r="F11" s="75" t="inlineStr">
        <is>
          <t>16Gb</t>
        </is>
      </c>
      <c r="G11" s="75" t="inlineStr">
        <is>
          <t>Samsung SSD 870 EVO 500GB</t>
        </is>
      </c>
      <c r="H11" s="75" t="inlineStr">
        <is>
          <t>SSD-500Gb</t>
        </is>
      </c>
      <c r="I11" s="75" t="inlineStr">
        <is>
          <t>Windows 10 Pro</t>
        </is>
      </c>
      <c r="J11" s="75" t="inlineStr">
        <is>
          <t>WS-014-161</t>
        </is>
      </c>
      <c r="K11" s="75" t="inlineStr">
        <is>
          <t>HP LaserJet Pro M428fdw</t>
        </is>
      </c>
      <c r="L11" s="75" t="inlineStr">
        <is>
          <t>510</t>
        </is>
      </c>
      <c r="M11" s="75" t="inlineStr">
        <is>
          <t>pol1</t>
        </is>
      </c>
      <c r="N11" s="75" t="inlineStr">
        <is>
          <t>none</t>
        </is>
      </c>
    </row>
    <row r="12" ht="20.1" customHeight="1" s="70">
      <c r="A12" s="72" t="inlineStr">
        <is>
          <t>16.09.2026</t>
        </is>
      </c>
      <c r="B12" s="73" t="inlineStr">
        <is>
          <t>10.67.64.6</t>
        </is>
      </c>
      <c r="C12" s="74" t="inlineStr">
        <is>
          <t>00:58:3F:17:59:32</t>
        </is>
      </c>
      <c r="D12" s="75" t="inlineStr">
        <is>
          <t>Aquarius AQH310CM</t>
        </is>
      </c>
      <c r="E12" s="75" t="inlineStr">
        <is>
          <t>Intel(R) i5-9400 2.90GHz</t>
        </is>
      </c>
      <c r="F12" s="75" t="inlineStr">
        <is>
          <t>8GB</t>
        </is>
      </c>
      <c r="G12" s="75" t="inlineStr">
        <is>
          <t>FOXLINE_FLSSD256X5</t>
        </is>
      </c>
      <c r="H12" s="75" t="inlineStr">
        <is>
          <t>SSD 260Gb</t>
        </is>
      </c>
      <c r="I12" s="75" t="inlineStr">
        <is>
          <t>ALT Workstation 9.0</t>
        </is>
      </c>
      <c r="J12" s="75" t="inlineStr">
        <is>
          <t>comp-core-i7-8700t-1051a2</t>
        </is>
      </c>
      <c r="K12" s="75" t="inlineStr">
        <is>
          <t>HP LaserJet Pro M404dn</t>
        </is>
      </c>
      <c r="L12" s="75" t="inlineStr">
        <is>
          <t>524</t>
        </is>
      </c>
      <c r="M12" s="75" t="inlineStr">
        <is>
          <t>pol1</t>
        </is>
      </c>
      <c r="N12" s="75" t="inlineStr">
        <is>
          <t>none</t>
        </is>
      </c>
    </row>
    <row r="13" ht="20.1" customHeight="1" s="70">
      <c r="A13" s="72" t="inlineStr">
        <is>
          <t>15.09.2026</t>
        </is>
      </c>
      <c r="B13" s="73" t="inlineStr">
        <is>
          <t>10.67.28.77</t>
        </is>
      </c>
      <c r="C13" s="74" t="inlineStr">
        <is>
          <t>F8:CC:6E:00:B4:DD</t>
        </is>
      </c>
      <c r="D13" s="75" t="inlineStr">
        <is>
          <t>DEPO Computers DPH110S</t>
        </is>
      </c>
      <c r="E13" s="75" t="inlineStr">
        <is>
          <t>Intel(R) i3-9100 3.60GHz</t>
        </is>
      </c>
      <c r="F13" s="75" t="inlineStr">
        <is>
          <t>8GB</t>
        </is>
      </c>
      <c r="G13" s="75" t="inlineStr">
        <is>
          <t>QUMO_SSD</t>
        </is>
      </c>
      <c r="H13" s="75" t="inlineStr">
        <is>
          <t>SSD 240Gb</t>
        </is>
      </c>
      <c r="I13" s="75" t="inlineStr">
        <is>
          <t>ALT 8 SP Workstation (cliff)</t>
        </is>
      </c>
      <c r="J13" s="75" t="inlineStr">
        <is>
          <t>comp-pentium-gold-002096</t>
        </is>
      </c>
      <c r="K13" s="75" t="inlineStr">
        <is>
          <t>hp402</t>
        </is>
      </c>
      <c r="L13" s="75" t="inlineStr">
        <is>
          <t>регистратура 2 окно</t>
        </is>
      </c>
      <c r="M13" s="75" t="inlineStr">
        <is>
          <t>pol1</t>
        </is>
      </c>
      <c r="N13" s="75" t="inlineStr">
        <is>
          <t>78535</t>
        </is>
      </c>
    </row>
    <row r="14" ht="20.1" customHeight="1" s="70">
      <c r="A14" s="72" t="inlineStr">
        <is>
          <t>15.09.2026</t>
        </is>
      </c>
      <c r="B14" s="73" t="inlineStr">
        <is>
          <t>10.67.28.59</t>
        </is>
      </c>
      <c r="C14" s="74" t="inlineStr">
        <is>
          <t>F8:CC:6E:00:B1:CF</t>
        </is>
      </c>
      <c r="D14" s="75" t="inlineStr">
        <is>
          <t>DEPO Computers DPH110S</t>
        </is>
      </c>
      <c r="E14" s="75" t="inlineStr">
        <is>
          <t>Intel(R) Pentium(R) Gold G5420 3.80GHz</t>
        </is>
      </c>
      <c r="F14" s="75" t="inlineStr">
        <is>
          <t>8GB</t>
        </is>
      </c>
      <c r="G14" s="75" t="inlineStr">
        <is>
          <t>KINGSTON_SA400S37240G</t>
        </is>
      </c>
      <c r="H14" s="75" t="inlineStr">
        <is>
          <t>SSD 240Gb</t>
        </is>
      </c>
      <c r="I14" s="75" t="inlineStr">
        <is>
          <t>ALT 8 SP Workstation (cliff)</t>
        </is>
      </c>
      <c r="J14" s="75" t="inlineStr">
        <is>
          <t>comp-pentium-gold-002096</t>
        </is>
      </c>
      <c r="K14" s="75" t="inlineStr">
        <is>
          <t>M428</t>
        </is>
      </c>
      <c r="L14" s="75" t="inlineStr">
        <is>
          <t>регистратура 3 окно</t>
        </is>
      </c>
      <c r="M14" s="75" t="inlineStr">
        <is>
          <t>pol1</t>
        </is>
      </c>
      <c r="N14" s="75" t="inlineStr">
        <is>
          <t>88546</t>
        </is>
      </c>
    </row>
    <row r="15" ht="20.1" customHeight="1" s="70">
      <c r="A15" s="72" t="inlineStr">
        <is>
          <t>15.09.2026</t>
        </is>
      </c>
      <c r="B15" s="73" t="inlineStr">
        <is>
          <t>10.67.28.61</t>
        </is>
      </c>
      <c r="C15" s="74" t="inlineStr">
        <is>
          <t>F8:CC:6E:00:A5:45</t>
        </is>
      </c>
      <c r="D15" s="75" t="inlineStr">
        <is>
          <t>DEPO Computers DPH110S</t>
        </is>
      </c>
      <c r="E15" s="75" t="inlineStr">
        <is>
          <t>Intel(R) Pentium(R) Gold G5420 3.80GHz</t>
        </is>
      </c>
      <c r="F15" s="75" t="inlineStr">
        <is>
          <t>8GB</t>
        </is>
      </c>
      <c r="G15" s="75" t="inlineStr">
        <is>
          <t>QUMO_SSD</t>
        </is>
      </c>
      <c r="H15" s="75" t="inlineStr">
        <is>
          <t>SSD 120Gb</t>
        </is>
      </c>
      <c r="I15" s="75" t="inlineStr">
        <is>
          <t>ALT 8 SP Workstation (cliff)</t>
        </is>
      </c>
      <c r="J15" s="75" t="inlineStr">
        <is>
          <t>comp-pentium-gold-002096</t>
        </is>
      </c>
      <c r="K15" s="75" t="inlineStr">
        <is>
          <t>HP LaserJet Pro M428fdw</t>
        </is>
      </c>
      <c r="L15" s="75" t="inlineStr">
        <is>
          <t>регистратура 1 окно</t>
        </is>
      </c>
      <c r="M15" s="75" t="inlineStr">
        <is>
          <t>pol1</t>
        </is>
      </c>
      <c r="N15" s="75" t="inlineStr">
        <is>
          <t>88541</t>
        </is>
      </c>
    </row>
    <row r="16" ht="20.1" customHeight="1" s="70">
      <c r="A16" s="72" t="inlineStr">
        <is>
          <t>15.09.2026</t>
        </is>
      </c>
      <c r="B16" s="73" t="inlineStr">
        <is>
          <t>10.67.14.141</t>
        </is>
      </c>
      <c r="C16" s="74" t="inlineStr">
        <is>
          <t>2C-F0-5D-9E-B2-74</t>
        </is>
      </c>
      <c r="D16" s="75" t="inlineStr">
        <is>
          <t>Micro-Star International Co., Ltd.  A320M-A PRO (MS-7C51)</t>
        </is>
      </c>
      <c r="E16" s="75" t="inlineStr">
        <is>
          <t>AMD Ryzen 5 3400G with Radeon Vega Graphics</t>
        </is>
      </c>
      <c r="F16" s="75" t="inlineStr">
        <is>
          <t>6Gb</t>
        </is>
      </c>
      <c r="G16" s="75" t="inlineStr">
        <is>
          <t>Smartbuy SSD 256GB</t>
        </is>
      </c>
      <c r="H16" s="75" t="inlineStr">
        <is>
          <t>SSD-256Gb</t>
        </is>
      </c>
      <c r="I16" s="75" t="inlineStr">
        <is>
          <t>Windows 10 Pro</t>
        </is>
      </c>
      <c r="J16" s="75" t="inlineStr">
        <is>
          <t>WS-14-141</t>
        </is>
      </c>
      <c r="K16" s="75" t="inlineStr">
        <is>
          <t>HP LaserJet Pro M428fdw</t>
        </is>
      </c>
      <c r="L16" s="75" t="inlineStr">
        <is>
          <t>регистратура 2 окно</t>
        </is>
      </c>
      <c r="M16" s="75" t="inlineStr">
        <is>
          <t>pol1</t>
        </is>
      </c>
      <c r="N16" s="75" t="inlineStr">
        <is>
          <t>88746</t>
        </is>
      </c>
    </row>
    <row r="17" ht="20.1" customHeight="1" s="70">
      <c r="A17" s="72" t="inlineStr">
        <is>
          <t>15.09.2026</t>
        </is>
      </c>
      <c r="B17" s="73" t="inlineStr">
        <is>
          <t>10.67.14.130</t>
        </is>
      </c>
      <c r="C17" s="74" t="inlineStr">
        <is>
          <t>04-D9-F5-81-FB-36</t>
        </is>
      </c>
      <c r="D17" s="75" t="inlineStr">
        <is>
          <t>ASUSTeK PRIME A320M-A</t>
        </is>
      </c>
      <c r="E17" s="75" t="inlineStr">
        <is>
          <t>AMD Ryzen 5 3400G with Radeon Vega Graphics</t>
        </is>
      </c>
      <c r="F17" s="75" t="inlineStr">
        <is>
          <t>6Gb</t>
        </is>
      </c>
      <c r="G17" s="75" t="inlineStr">
        <is>
          <t>ST1000DM010-2EP102</t>
        </is>
      </c>
      <c r="H17" s="75" t="inlineStr">
        <is>
          <t>HDD-1Tb</t>
        </is>
      </c>
      <c r="I17" s="75" t="inlineStr">
        <is>
          <t>Windows 10 Pro</t>
        </is>
      </c>
      <c r="J17" s="75" t="inlineStr">
        <is>
          <t>DESKTOP-MQADVRK</t>
        </is>
      </c>
      <c r="K17" s="75" t="inlineStr">
        <is>
          <t>HP LaserJet Pro M428fdw</t>
        </is>
      </c>
      <c r="L17" s="75" t="inlineStr">
        <is>
          <t>регистратура 3 окно</t>
        </is>
      </c>
      <c r="M17" s="75" t="inlineStr">
        <is>
          <t>pol1</t>
        </is>
      </c>
      <c r="N17" s="75" t="inlineStr">
        <is>
          <t>114130</t>
        </is>
      </c>
    </row>
    <row r="18" ht="20.1" customHeight="1" s="70">
      <c r="A18" s="72" t="inlineStr">
        <is>
          <t>15.09.2026</t>
        </is>
      </c>
      <c r="B18" s="73" t="inlineStr">
        <is>
          <t>10.67.14.132 / 192.168.56.1</t>
        </is>
      </c>
      <c r="C18" s="74" t="inlineStr">
        <is>
          <t>04-D9-F5-81-FB-2A / 0A-00-27-00-00-07</t>
        </is>
      </c>
      <c r="D18" s="75" t="inlineStr">
        <is>
          <t>ASUSTeK PRIME A320M-A</t>
        </is>
      </c>
      <c r="E18" s="75" t="inlineStr">
        <is>
          <t>AMD Ryzen 5 3400G with Radeon Vega Graphics</t>
        </is>
      </c>
      <c r="F18" s="75" t="inlineStr">
        <is>
          <t>6Gb</t>
        </is>
      </c>
      <c r="G18" s="75" t="inlineStr">
        <is>
          <t>ST1000DM010-2EP102</t>
        </is>
      </c>
      <c r="H18" s="75" t="inlineStr">
        <is>
          <t>HDD-1Tb</t>
        </is>
      </c>
      <c r="I18" s="75" t="inlineStr">
        <is>
          <t>Windows 10 Pro</t>
        </is>
      </c>
      <c r="J18" s="75" t="inlineStr">
        <is>
          <t>WS-014-132</t>
        </is>
      </c>
      <c r="K18" s="75" t="inlineStr">
        <is>
          <t>HP LaserJet Pro M428fdw</t>
        </is>
      </c>
      <c r="L18" s="75" t="inlineStr">
        <is>
          <t>регистратура 1 окно</t>
        </is>
      </c>
      <c r="M18" s="75" t="inlineStr">
        <is>
          <t>pol1</t>
        </is>
      </c>
      <c r="N18" s="75" t="inlineStr">
        <is>
          <t>114132</t>
        </is>
      </c>
    </row>
    <row r="19" ht="20.1" customHeight="1" s="70">
      <c r="A19" s="72" t="inlineStr">
        <is>
          <t>15.09.2026</t>
        </is>
      </c>
      <c r="B19" s="73" t="inlineStr">
        <is>
          <t>10.67.38.49</t>
        </is>
      </c>
      <c r="C19" s="74" t="inlineStr">
        <is>
          <t>00:58:3F:12:1D:31</t>
        </is>
      </c>
      <c r="D19" s="75" t="inlineStr">
        <is>
          <t>Aquarius AQB365MC</t>
        </is>
      </c>
      <c r="E19" s="75" t="inlineStr">
        <is>
          <t>Intel(R) i5-9400 2.90GHz</t>
        </is>
      </c>
      <c r="F19" s="75" t="inlineStr">
        <is>
          <t>8GB</t>
        </is>
      </c>
      <c r="G19" s="75" t="inlineStr">
        <is>
          <t>FOXLINE_FLSSD256X5</t>
        </is>
      </c>
      <c r="H19" s="75" t="inlineStr">
        <is>
          <t>SSD 260Gb</t>
        </is>
      </c>
      <c r="I19" s="75" t="inlineStr">
        <is>
          <t>ALT Workstation 9.0</t>
        </is>
      </c>
      <c r="J19" s="75" t="inlineStr">
        <is>
          <t>comp-core-i7-8700t-1051a2</t>
        </is>
      </c>
      <c r="K19" s="75" t="inlineStr">
        <is>
          <t>HP_LaserJet_MFP_M28-M31</t>
        </is>
      </c>
      <c r="L19" s="75" t="inlineStr">
        <is>
          <t>2</t>
        </is>
      </c>
      <c r="M19" s="75" t="inlineStr">
        <is>
          <t>psi</t>
        </is>
      </c>
      <c r="N19" s="75" t="inlineStr">
        <is>
          <t>89591</t>
        </is>
      </c>
    </row>
    <row r="20" ht="20.1" customHeight="1" s="70">
      <c r="A20" s="72" t="inlineStr">
        <is>
          <t>14.09.2026</t>
        </is>
      </c>
      <c r="B20" s="73" t="inlineStr">
        <is>
          <t>10.67.64.26</t>
        </is>
      </c>
      <c r="C20" s="74" t="inlineStr">
        <is>
          <t>00:58:3F:17:76:0C</t>
        </is>
      </c>
      <c r="D20" s="75" t="inlineStr">
        <is>
          <t>Aquarius AQH310CM</t>
        </is>
      </c>
      <c r="E20" s="75" t="inlineStr">
        <is>
          <t>Intel(R) i5-9400 2.90GHz</t>
        </is>
      </c>
      <c r="F20" s="75" t="inlineStr">
        <is>
          <t>8GB</t>
        </is>
      </c>
      <c r="G20" s="75" t="inlineStr">
        <is>
          <t>FOXLINE_FLSSD256X5</t>
        </is>
      </c>
      <c r="H20" s="75" t="inlineStr">
        <is>
          <t>SSD 260Gb</t>
        </is>
      </c>
      <c r="I20" s="75" t="inlineStr">
        <is>
          <t>ALT Workstation 9.0</t>
        </is>
      </c>
      <c r="J20" s="75" t="inlineStr">
        <is>
          <t>1051a2</t>
        </is>
      </c>
      <c r="K20" s="75" t="inlineStr">
        <is>
          <t>Samsung-SCX-483x-5x3x-Series</t>
        </is>
      </c>
      <c r="L20" s="75" t="inlineStr">
        <is>
          <t>817</t>
        </is>
      </c>
      <c r="M20" s="75" t="inlineStr">
        <is>
          <t>pol1</t>
        </is>
      </c>
      <c r="N20" s="75" t="inlineStr">
        <is>
          <t>91036</t>
        </is>
      </c>
    </row>
    <row r="21" ht="20.1" customHeight="1" s="70">
      <c r="A21" s="72" t="inlineStr">
        <is>
          <t>15.09.2026</t>
        </is>
      </c>
      <c r="B21" s="73" t="inlineStr">
        <is>
          <t>10.67.64.88</t>
        </is>
      </c>
      <c r="C21" s="74" t="inlineStr">
        <is>
          <t>00:58:3F:17:72:F0</t>
        </is>
      </c>
      <c r="D21" s="75" t="inlineStr">
        <is>
          <t>Aquarius AQH310CM</t>
        </is>
      </c>
      <c r="E21" s="75" t="inlineStr">
        <is>
          <t>Intel(R) i5-9400 2.90GHz</t>
        </is>
      </c>
      <c r="F21" s="75" t="inlineStr">
        <is>
          <t>8GB</t>
        </is>
      </c>
      <c r="G21" s="75" t="inlineStr">
        <is>
          <t>FOXLINE_FLSSD256X5</t>
        </is>
      </c>
      <c r="H21" s="75" t="inlineStr">
        <is>
          <t>SSD 260Gb</t>
        </is>
      </c>
      <c r="I21" s="75" t="inlineStr">
        <is>
          <t>ALT Workstation 9.0</t>
        </is>
      </c>
      <c r="J21" s="75" t="inlineStr">
        <is>
          <t>1051a2</t>
        </is>
      </c>
      <c r="K21" s="75" t="inlineStr">
        <is>
          <t>HP LaserJet Pro M428fdw</t>
        </is>
      </c>
      <c r="L21" s="75" t="inlineStr">
        <is>
          <t>542</t>
        </is>
      </c>
      <c r="M21" s="75" t="inlineStr">
        <is>
          <t>pol1</t>
        </is>
      </c>
      <c r="N21" s="75" t="inlineStr">
        <is>
          <t>89588</t>
        </is>
      </c>
    </row>
    <row r="22" ht="20.1" customHeight="1" s="70">
      <c r="A22" s="72" t="inlineStr">
        <is>
          <t>07.09.2026</t>
        </is>
      </c>
      <c r="B22" s="73" t="inlineStr">
        <is>
          <t>10.67.64.66</t>
        </is>
      </c>
      <c r="C22" s="74" t="inlineStr">
        <is>
          <t>00:58:3F:17:64:28</t>
        </is>
      </c>
      <c r="D22" s="75" t="inlineStr">
        <is>
          <t>Aquarius AQH310CM</t>
        </is>
      </c>
      <c r="E22" s="75" t="inlineStr">
        <is>
          <t>Intel(R) i5-9400 2.90GHz</t>
        </is>
      </c>
      <c r="F22" s="75" t="inlineStr">
        <is>
          <t>8GB</t>
        </is>
      </c>
      <c r="G22" s="75" t="inlineStr">
        <is>
          <t>FOXLINE_FLSSD256X5</t>
        </is>
      </c>
      <c r="H22" s="75" t="inlineStr">
        <is>
          <t>SSD 260Gb</t>
        </is>
      </c>
      <c r="I22" s="75" t="inlineStr">
        <is>
          <t>ALT Workstation 9.0</t>
        </is>
      </c>
      <c r="J22" s="75" t="inlineStr">
        <is>
          <t>1051a2</t>
        </is>
      </c>
      <c r="K22" s="75" t="inlineStr">
        <is>
          <t>Samsung-SCX-3400-Series</t>
        </is>
      </c>
      <c r="L22" s="75" t="inlineStr">
        <is>
          <t>509</t>
        </is>
      </c>
      <c r="M22" s="75" t="inlineStr">
        <is>
          <t>pol1</t>
        </is>
      </c>
      <c r="N22" s="75" t="inlineStr">
        <is>
          <t>89722</t>
        </is>
      </c>
    </row>
    <row r="23" ht="20.1" customHeight="1" s="70">
      <c r="A23" s="72" t="inlineStr">
        <is>
          <t>14.09.2026</t>
        </is>
      </c>
      <c r="B23" s="73" t="inlineStr">
        <is>
          <t>10.67.64.82</t>
        </is>
      </c>
      <c r="C23" s="74" t="inlineStr">
        <is>
          <t>00:58:3F:0F:3F:87</t>
        </is>
      </c>
      <c r="D23" s="75" t="inlineStr">
        <is>
          <t>Aquarius AQB365MC</t>
        </is>
      </c>
      <c r="E23" s="75" t="inlineStr">
        <is>
          <t>Intel(R) i5-9400 2.90GHz</t>
        </is>
      </c>
      <c r="F23" s="75" t="inlineStr">
        <is>
          <t>8GB</t>
        </is>
      </c>
      <c r="G23" s="75" t="inlineStr">
        <is>
          <t>FOXLINE_FLSSD256X5</t>
        </is>
      </c>
      <c r="H23" s="75" t="inlineStr">
        <is>
          <t>SSD 260Gb</t>
        </is>
      </c>
      <c r="I23" s="75" t="inlineStr">
        <is>
          <t>ALT Workstation 9.0</t>
        </is>
      </c>
      <c r="J23" s="75" t="inlineStr">
        <is>
          <t>1051a2</t>
        </is>
      </c>
      <c r="K23" s="75" t="inlineStr">
        <is>
          <t>HP_LaserJet_Professional_P1102</t>
        </is>
      </c>
      <c r="L23" s="75" t="inlineStr">
        <is>
          <t>433</t>
        </is>
      </c>
      <c r="M23" s="75" t="inlineStr">
        <is>
          <t>pol1</t>
        </is>
      </c>
      <c r="N23" s="75" t="inlineStr">
        <is>
          <t>none</t>
        </is>
      </c>
    </row>
    <row r="24" ht="20.1" customHeight="1" s="70">
      <c r="A24" s="72" t="inlineStr">
        <is>
          <t>10.09.2026</t>
        </is>
      </c>
      <c r="B24" s="73" t="inlineStr">
        <is>
          <t>10.67.11.32</t>
        </is>
      </c>
      <c r="C24" s="74" t="inlineStr">
        <is>
          <t>00:58:3F:0D:24:AD</t>
        </is>
      </c>
      <c r="D24" s="75" t="inlineStr">
        <is>
          <t>ASUSTeK PRIME B365M-C</t>
        </is>
      </c>
      <c r="E24" s="75" t="inlineStr">
        <is>
          <t>Intel(R) i5-9400 2.90GHz</t>
        </is>
      </c>
      <c r="F24" s="75" t="inlineStr">
        <is>
          <t>8GB</t>
        </is>
      </c>
      <c r="G24" s="75" t="inlineStr">
        <is>
          <t>FOXLINE FLSSD256X5</t>
        </is>
      </c>
      <c r="H24" s="75" t="inlineStr">
        <is>
          <t>SSD 256Gb</t>
        </is>
      </c>
      <c r="I24" s="75" t="inlineStr">
        <is>
          <t>ALT Workstation 10.4</t>
        </is>
      </c>
      <c r="J24" s="75" t="inlineStr">
        <is>
          <t>dpk5324</t>
        </is>
      </c>
      <c r="K24" s="75" t="inlineStr">
        <is>
          <t>POScentre</t>
        </is>
      </c>
      <c r="L24" s="75" t="inlineStr">
        <is>
          <t>312-3211</t>
        </is>
      </c>
      <c r="M24" s="75" t="inlineStr">
        <is>
          <t>uprav</t>
        </is>
      </c>
      <c r="N24" s="75" t="inlineStr">
        <is>
          <t>none</t>
        </is>
      </c>
    </row>
    <row r="25" ht="20.1" customHeight="1" s="70">
      <c r="A25" s="72" t="inlineStr">
        <is>
          <t>04.09.2026</t>
        </is>
      </c>
      <c r="B25" s="73" t="inlineStr">
        <is>
          <t>10.67.28.74</t>
        </is>
      </c>
      <c r="C25" s="74" t="inlineStr">
        <is>
          <t>F8:CC:6E:00:B1:92</t>
        </is>
      </c>
      <c r="D25" s="75" t="inlineStr">
        <is>
          <t>DEPO Computers DPH110S</t>
        </is>
      </c>
      <c r="E25" s="75" t="inlineStr">
        <is>
          <t>Intel(R) i3-9100 3.60GHz</t>
        </is>
      </c>
      <c r="F25" s="75" t="inlineStr">
        <is>
          <t>8Gb</t>
        </is>
      </c>
      <c r="G25" s="75" t="inlineStr">
        <is>
          <t>QUMO_SSD</t>
        </is>
      </c>
      <c r="H25" s="75" t="inlineStr">
        <is>
          <t>SSD 240Gb</t>
        </is>
      </c>
      <c r="I25" s="75" t="inlineStr">
        <is>
          <t>ALT 8 SP Workstation (cliff)</t>
        </is>
      </c>
      <c r="J25" s="75" t="inlineStr">
        <is>
          <t>002096</t>
        </is>
      </c>
      <c r="K25" s="75" t="inlineStr">
        <is>
          <t>HP LaserJet Pro M428fdw</t>
        </is>
      </c>
      <c r="L25" s="75" t="inlineStr">
        <is>
          <t>регистратура 4 окно</t>
        </is>
      </c>
      <c r="M25" s="75" t="inlineStr">
        <is>
          <t>pol1</t>
        </is>
      </c>
      <c r="N25" s="75" t="inlineStr">
        <is>
          <t>88520</t>
        </is>
      </c>
    </row>
    <row r="26" ht="20.1" customHeight="1" s="70">
      <c r="A26" s="72" t="inlineStr">
        <is>
          <t>04.09.2026</t>
        </is>
      </c>
      <c r="B26" s="73" t="inlineStr">
        <is>
          <t>10.67.28.57</t>
        </is>
      </c>
      <c r="C26" s="74" t="inlineStr">
        <is>
          <t>F8:CC:6E:00:A2:9E</t>
        </is>
      </c>
      <c r="D26" s="75" t="inlineStr">
        <is>
          <t>DEPO Computers DPH110S</t>
        </is>
      </c>
      <c r="E26" s="75" t="inlineStr">
        <is>
          <t>Intel(R) Pentium(R) Gold G5420 3.80GHz</t>
        </is>
      </c>
      <c r="F26" s="75" t="inlineStr">
        <is>
          <t>8GB</t>
        </is>
      </c>
      <c r="G26" s="75" t="inlineStr">
        <is>
          <t>QUMO_SSD</t>
        </is>
      </c>
      <c r="H26" s="75" t="inlineStr">
        <is>
          <t>SSD 120Gb</t>
        </is>
      </c>
      <c r="I26" s="75" t="inlineStr">
        <is>
          <t>ALT 8 SP Workstation (cliff)</t>
        </is>
      </c>
      <c r="J26" s="75" t="inlineStr">
        <is>
          <t>002096</t>
        </is>
      </c>
      <c r="K26" s="75" t="inlineStr">
        <is>
          <t>HP LaserJet Pro M428fdw</t>
        </is>
      </c>
      <c r="L26" s="75" t="inlineStr">
        <is>
          <t>регистратура 5 окно</t>
        </is>
      </c>
      <c r="M26" s="75" t="inlineStr">
        <is>
          <t>pol1</t>
        </is>
      </c>
      <c r="N26" s="75" t="inlineStr">
        <is>
          <t>88536</t>
        </is>
      </c>
    </row>
    <row r="27" ht="20.1" customHeight="1" s="70">
      <c r="A27" s="72" t="inlineStr">
        <is>
          <t>01.09.2026</t>
        </is>
      </c>
      <c r="B27" s="73" t="inlineStr">
        <is>
          <t>10.67.40.22</t>
        </is>
      </c>
      <c r="C27" s="74" t="inlineStr">
        <is>
          <t>70-85-C2-0F-89-20</t>
        </is>
      </c>
      <c r="D27" s="75" t="inlineStr">
        <is>
          <t>ASRock H81M-VG4 R3.0</t>
        </is>
      </c>
      <c r="E27" s="75" t="inlineStr">
        <is>
          <t>Intel i3-4160 3.60GHz</t>
        </is>
      </c>
      <c r="F27" s="75" t="inlineStr">
        <is>
          <t>4Gb</t>
        </is>
      </c>
      <c r="G27" s="75" t="inlineStr">
        <is>
          <t>unknown</t>
        </is>
      </c>
      <c r="H27" s="75" t="inlineStr">
        <is>
          <t>unknown</t>
        </is>
      </c>
      <c r="I27" s="75" t="inlineStr">
        <is>
          <t>Windows 10 Pro</t>
        </is>
      </c>
      <c r="J27" s="75" t="inlineStr">
        <is>
          <t>WS-040-022</t>
        </is>
      </c>
      <c r="K27" s="75" t="inlineStr">
        <is>
          <t>HP LaserJet MFP M129-M134 PCLmS</t>
        </is>
      </c>
      <c r="L27" s="75" t="inlineStr">
        <is>
          <t>заведующая</t>
        </is>
      </c>
      <c r="M27" s="75" t="inlineStr">
        <is>
          <t>туберкулёз</t>
        </is>
      </c>
      <c r="N27" s="75" t="inlineStr"/>
    </row>
    <row r="28" ht="20.1" customHeight="1" s="70">
      <c r="A28" s="72" t="inlineStr">
        <is>
          <t>04.09.2026</t>
        </is>
      </c>
      <c r="B28" s="73" t="inlineStr">
        <is>
          <t>10.67.14.145</t>
        </is>
      </c>
      <c r="C28" s="74" t="inlineStr">
        <is>
          <t>2C-F0-5D-9E-B2-EA</t>
        </is>
      </c>
      <c r="D28" s="75" t="inlineStr">
        <is>
          <t>Micro-Star A320M-A PRO (MS-7C51)</t>
        </is>
      </c>
      <c r="E28" s="75" t="inlineStr">
        <is>
          <t>AMD Ryzen 5 3400G with Radeon Vega Graphics</t>
        </is>
      </c>
      <c r="F28" s="75" t="inlineStr">
        <is>
          <t>6Gb</t>
        </is>
      </c>
      <c r="G28" s="75" t="inlineStr">
        <is>
          <t>Smartbuy SSD 256GB</t>
        </is>
      </c>
      <c r="H28" s="75" t="inlineStr">
        <is>
          <t>SSD-256Gb</t>
        </is>
      </c>
      <c r="I28" s="75" t="inlineStr">
        <is>
          <t>Windows 10 Pro</t>
        </is>
      </c>
      <c r="J28" s="75" t="inlineStr">
        <is>
          <t>WS-014-145</t>
        </is>
      </c>
      <c r="K28" s="75" t="inlineStr">
        <is>
          <t>HP LaserJet Pro M428fdw</t>
        </is>
      </c>
      <c r="L28" s="75" t="inlineStr">
        <is>
          <t>регистратура - 6 окно</t>
        </is>
      </c>
      <c r="M28" s="75" t="inlineStr">
        <is>
          <t>pol1</t>
        </is>
      </c>
      <c r="N28" s="75" t="inlineStr">
        <is>
          <t>88749</t>
        </is>
      </c>
    </row>
    <row r="29" ht="20.1" customHeight="1" s="70">
      <c r="A29" s="72" t="inlineStr">
        <is>
          <t>04.09.2026</t>
        </is>
      </c>
      <c r="B29" s="73" t="inlineStr">
        <is>
          <t>10.67.14.146</t>
        </is>
      </c>
      <c r="C29" s="74" t="inlineStr">
        <is>
          <t>2C-F0-5D-9E-B2-5D</t>
        </is>
      </c>
      <c r="D29" s="75" t="inlineStr">
        <is>
          <t>Micro-Star  A320M-A PRO (MS-7C51)</t>
        </is>
      </c>
      <c r="E29" s="75" t="inlineStr">
        <is>
          <t>AMD Ryzen 5 3400G with Radeon Vega Graphics</t>
        </is>
      </c>
      <c r="F29" s="75" t="inlineStr">
        <is>
          <t>6Gb</t>
        </is>
      </c>
      <c r="G29" s="75" t="inlineStr">
        <is>
          <t>Smartbuy SSD 256GB</t>
        </is>
      </c>
      <c r="H29" s="75" t="inlineStr">
        <is>
          <t>SSD-256Gb</t>
        </is>
      </c>
      <c r="I29" s="75" t="inlineStr">
        <is>
          <t>Windows 10 Pro</t>
        </is>
      </c>
      <c r="J29" s="75" t="inlineStr">
        <is>
          <t>WS-014-146</t>
        </is>
      </c>
      <c r="K29" s="75" t="inlineStr">
        <is>
          <t>HP LaserJet Pro M428fdw</t>
        </is>
      </c>
      <c r="L29" s="75" t="inlineStr">
        <is>
          <t>регистратура 5 окно</t>
        </is>
      </c>
      <c r="M29" s="75" t="inlineStr">
        <is>
          <t>pol1</t>
        </is>
      </c>
      <c r="N29" s="75" t="inlineStr">
        <is>
          <t>88745</t>
        </is>
      </c>
    </row>
    <row r="30" ht="20.1" customHeight="1" s="70">
      <c r="A30" s="72" t="inlineStr">
        <is>
          <t>31.08.2026</t>
        </is>
      </c>
      <c r="B30" s="73" t="inlineStr">
        <is>
          <t>10.67.40.24</t>
        </is>
      </c>
      <c r="C30" s="74" t="inlineStr">
        <is>
          <t>10-FF-E0-28-EC-18</t>
        </is>
      </c>
      <c r="D30" s="75" t="inlineStr">
        <is>
          <t>Gigabyte H410M K</t>
        </is>
      </c>
      <c r="E30" s="75" t="inlineStr">
        <is>
          <t>Intel i3-10100 3.60GHz</t>
        </is>
      </c>
      <c r="F30" s="75" t="inlineStr">
        <is>
          <t>16Gb</t>
        </is>
      </c>
      <c r="G30" s="75" t="inlineStr">
        <is>
          <t>unknown</t>
        </is>
      </c>
      <c r="H30" s="75" t="inlineStr">
        <is>
          <t>unknown</t>
        </is>
      </c>
      <c r="I30" s="75" t="inlineStr">
        <is>
          <t>Windows 10 Pro</t>
        </is>
      </c>
      <c r="J30" s="75" t="inlineStr">
        <is>
          <t>WS-040-024</t>
        </is>
      </c>
      <c r="K30" s="75" t="inlineStr">
        <is>
          <t>HP LaserJet Professional M1214nfh MFP</t>
        </is>
      </c>
      <c r="L30" s="75" t="inlineStr">
        <is>
          <t>9 заведующая</t>
        </is>
      </c>
      <c r="M30" s="75" t="inlineStr">
        <is>
          <t>туберкулёз</t>
        </is>
      </c>
      <c r="N30" s="75" t="inlineStr"/>
    </row>
    <row r="31" ht="20.1" customHeight="1" s="70">
      <c r="A31" s="72" t="inlineStr">
        <is>
          <t>04.09.2026</t>
        </is>
      </c>
      <c r="B31" s="73" t="inlineStr">
        <is>
          <t>10.67.14.133</t>
        </is>
      </c>
      <c r="C31" s="74" t="inlineStr">
        <is>
          <t>04-D9-F5-81-FB-2B</t>
        </is>
      </c>
      <c r="D31" s="75" t="inlineStr">
        <is>
          <t>ASUSTeK PRIME A320M-A</t>
        </is>
      </c>
      <c r="E31" s="75" t="inlineStr">
        <is>
          <t>AMD Ryzen 5 3400G with Radeon Vega Graphics</t>
        </is>
      </c>
      <c r="F31" s="75" t="inlineStr">
        <is>
          <t>6Gb</t>
        </is>
      </c>
      <c r="G31" s="75" t="inlineStr">
        <is>
          <t>ST1000DM010-2EP102</t>
        </is>
      </c>
      <c r="H31" s="75" t="inlineStr">
        <is>
          <t>HDD-1Tb</t>
        </is>
      </c>
      <c r="I31" s="75" t="inlineStr">
        <is>
          <t>Windows 10 Pro</t>
        </is>
      </c>
      <c r="J31" s="75" t="inlineStr">
        <is>
          <t>WS-014-133</t>
        </is>
      </c>
      <c r="K31" s="75" t="inlineStr">
        <is>
          <t>HP LaserJet Pro M428fdw</t>
        </is>
      </c>
      <c r="L31" s="75" t="inlineStr">
        <is>
          <t>регитратура 4 окно</t>
        </is>
      </c>
      <c r="M31" s="75" t="inlineStr">
        <is>
          <t>pol1</t>
        </is>
      </c>
      <c r="N31" s="75" t="inlineStr">
        <is>
          <t>none</t>
        </is>
      </c>
    </row>
    <row r="32" ht="20.1" customHeight="1" s="70">
      <c r="A32" s="72" t="inlineStr">
        <is>
          <t>26.08.2026</t>
        </is>
      </c>
      <c r="B32" s="73" t="inlineStr">
        <is>
          <t>192.168.56.1</t>
        </is>
      </c>
      <c r="C32" s="74" t="inlineStr">
        <is>
          <t>04-42-1A-0F-29-A3</t>
        </is>
      </c>
      <c r="D32" s="75" t="inlineStr">
        <is>
          <t>ASUSTeK PRIME H510M-R</t>
        </is>
      </c>
      <c r="E32" s="75" t="inlineStr">
        <is>
          <t>Intel i3-10100 3.60GHz</t>
        </is>
      </c>
      <c r="F32" s="75" t="inlineStr">
        <is>
          <t>16Gb</t>
        </is>
      </c>
      <c r="G32" s="75" t="inlineStr">
        <is>
          <t>unknown</t>
        </is>
      </c>
      <c r="H32" s="75" t="inlineStr">
        <is>
          <t>unknown</t>
        </is>
      </c>
      <c r="I32" s="75" t="inlineStr">
        <is>
          <t>Windows 10 Pro</t>
        </is>
      </c>
      <c r="J32" s="75" t="inlineStr">
        <is>
          <t>WS-014-0198</t>
        </is>
      </c>
      <c r="K32" s="75" t="inlineStr">
        <is>
          <t>HP Color LaserJet Pro MFP 4303</t>
        </is>
      </c>
      <c r="L32" s="75" t="inlineStr">
        <is>
          <t>Кирилл Николаевич приемная</t>
        </is>
      </c>
      <c r="M32" s="75" t="inlineStr">
        <is>
          <t>pol1</t>
        </is>
      </c>
      <c r="N32" s="75" t="inlineStr"/>
    </row>
    <row r="33" ht="20.1" customHeight="1" s="70">
      <c r="A33" s="72" t="inlineStr">
        <is>
          <t>04.09.2026</t>
        </is>
      </c>
      <c r="B33" s="73" t="inlineStr">
        <is>
          <t>10.67.64.87</t>
        </is>
      </c>
      <c r="C33" s="74" t="inlineStr">
        <is>
          <t>00:58:3F:17:72:20</t>
        </is>
      </c>
      <c r="D33" s="75" t="inlineStr">
        <is>
          <t>Aquarius AQH310CM</t>
        </is>
      </c>
      <c r="E33" s="75" t="inlineStr">
        <is>
          <t>Intel(R) i5-9400 2.90GHz</t>
        </is>
      </c>
      <c r="F33" s="75" t="inlineStr">
        <is>
          <t>8Gb</t>
        </is>
      </c>
      <c r="G33" s="75" t="inlineStr">
        <is>
          <t>FOXLINE_FLSSD256X5</t>
        </is>
      </c>
      <c r="H33" s="75" t="inlineStr">
        <is>
          <t>SSD 260Gb</t>
        </is>
      </c>
      <c r="I33" s="75" t="inlineStr">
        <is>
          <t>ALT Workstation 9.0</t>
        </is>
      </c>
      <c r="J33" s="75" t="inlineStr">
        <is>
          <t>1051a2</t>
        </is>
      </c>
      <c r="K33" s="75" t="inlineStr">
        <is>
          <t>M428</t>
        </is>
      </c>
      <c r="L33" s="75" t="inlineStr">
        <is>
          <t>регистратура - 6 окно</t>
        </is>
      </c>
      <c r="M33" s="75" t="inlineStr">
        <is>
          <t>pol1</t>
        </is>
      </c>
      <c r="N33" s="75" t="inlineStr">
        <is>
          <t>89636</t>
        </is>
      </c>
    </row>
    <row r="34" ht="20.1" customHeight="1" s="70">
      <c r="A34" s="72" t="inlineStr">
        <is>
          <t>04.09.2026</t>
        </is>
      </c>
      <c r="B34" s="73" t="inlineStr">
        <is>
          <t>10.67.64.98</t>
        </is>
      </c>
      <c r="C34" s="74" t="inlineStr">
        <is>
          <t>00:58:3F:17:6A:B2</t>
        </is>
      </c>
      <c r="D34" s="75" t="inlineStr">
        <is>
          <t>Aquarius AQH310CM</t>
        </is>
      </c>
      <c r="E34" s="75" t="inlineStr">
        <is>
          <t>Intel(R) i5-9400 2.90GHz</t>
        </is>
      </c>
      <c r="F34" s="75" t="inlineStr">
        <is>
          <t>8GB</t>
        </is>
      </c>
      <c r="G34" s="75" t="inlineStr">
        <is>
          <t>FOXLINE_FLSSD256X5</t>
        </is>
      </c>
      <c r="H34" s="75" t="inlineStr">
        <is>
          <t>SSD 260Gb</t>
        </is>
      </c>
      <c r="I34" s="75" t="inlineStr">
        <is>
          <t>ALT Workstation 9.0</t>
        </is>
      </c>
      <c r="J34" s="75" t="inlineStr">
        <is>
          <t>1051a2</t>
        </is>
      </c>
      <c r="K34" s="75" t="inlineStr">
        <is>
          <t>HP LaserJet Pro M428fdw</t>
        </is>
      </c>
      <c r="L34" s="75" t="inlineStr">
        <is>
          <t>регистратура - расписание</t>
        </is>
      </c>
      <c r="M34" s="75" t="inlineStr">
        <is>
          <t>pol1</t>
        </is>
      </c>
      <c r="N34" s="75" t="inlineStr">
        <is>
          <t>89681</t>
        </is>
      </c>
    </row>
    <row r="35" ht="20.1" customHeight="1" s="70">
      <c r="A35" s="72" t="inlineStr">
        <is>
          <t>04.09.2026</t>
        </is>
      </c>
      <c r="B35" s="73" t="inlineStr">
        <is>
          <t>10.67.64.103</t>
        </is>
      </c>
      <c r="C35" s="74" t="inlineStr">
        <is>
          <t>00:58:3F:17:6A:10</t>
        </is>
      </c>
      <c r="D35" s="75" t="inlineStr">
        <is>
          <t>Aquarius AQH310CM</t>
        </is>
      </c>
      <c r="E35" s="75" t="inlineStr">
        <is>
          <t>Intel(R) i5-9400 2.90GHz</t>
        </is>
      </c>
      <c r="F35" s="75" t="inlineStr">
        <is>
          <t>8Gb</t>
        </is>
      </c>
      <c r="G35" s="75" t="inlineStr">
        <is>
          <t>FOXLINE_FLSSD256X5 DataTraveler_3.0</t>
        </is>
      </c>
      <c r="H35" s="75" t="inlineStr">
        <is>
          <t>SSD 260Gb</t>
        </is>
      </c>
      <c r="I35" s="75" t="inlineStr">
        <is>
          <t>ALT Workstation 9.0</t>
        </is>
      </c>
      <c r="J35" s="75" t="inlineStr">
        <is>
          <t>1051a2</t>
        </is>
      </c>
      <c r="K35" s="75" t="inlineStr">
        <is>
          <t>HP LaserJet Pro MFP 4103</t>
        </is>
      </c>
      <c r="L35" s="75" t="inlineStr">
        <is>
          <t>ординаторская</t>
        </is>
      </c>
      <c r="M35" s="75" t="inlineStr">
        <is>
          <t>хирургия онкология 3 этаж</t>
        </is>
      </c>
      <c r="N35" s="75" t="inlineStr">
        <is>
          <t>none</t>
        </is>
      </c>
    </row>
    <row r="36" ht="20.1" customHeight="1" s="70">
      <c r="A36" s="72" t="inlineStr">
        <is>
          <t>24.08.2026</t>
        </is>
      </c>
      <c r="B36" s="73" t="inlineStr">
        <is>
          <t>10.67.64.73</t>
        </is>
      </c>
      <c r="C36" s="74" t="inlineStr">
        <is>
          <t>00:58:3F:17:5A:FA</t>
        </is>
      </c>
      <c r="D36" s="75" t="inlineStr">
        <is>
          <t>Aquarius AQH310CM</t>
        </is>
      </c>
      <c r="E36" s="75" t="inlineStr">
        <is>
          <t>Intel(R) i5-9400 2.90GHz</t>
        </is>
      </c>
      <c r="F36" s="75" t="inlineStr">
        <is>
          <t>8Gb</t>
        </is>
      </c>
      <c r="G36" s="75" t="inlineStr">
        <is>
          <t>FOXLINE_FLSSD256X5</t>
        </is>
      </c>
      <c r="H36" s="75" t="inlineStr">
        <is>
          <t>SSD 260Gb</t>
        </is>
      </c>
      <c r="I36" s="75" t="inlineStr">
        <is>
          <t>ALT Workstation 9.0</t>
        </is>
      </c>
      <c r="J36" s="75" t="inlineStr">
        <is>
          <t>1051a2</t>
        </is>
      </c>
      <c r="K36" s="75" t="inlineStr">
        <is>
          <t>HP LaserJet 1320</t>
        </is>
      </c>
      <c r="L36" s="75" t="inlineStr">
        <is>
          <t>828</t>
        </is>
      </c>
      <c r="M36" s="75" t="inlineStr">
        <is>
          <t>pol1</t>
        </is>
      </c>
      <c r="N36" s="75" t="inlineStr"/>
    </row>
    <row r="37" ht="20.1" customHeight="1" s="70">
      <c r="A37" s="72" t="inlineStr">
        <is>
          <t>04.09.2026</t>
        </is>
      </c>
      <c r="B37" s="73" t="inlineStr">
        <is>
          <t>10.67.12.77</t>
        </is>
      </c>
      <c r="C37" s="74" t="inlineStr">
        <is>
          <t>00:58:3F:16:55:32</t>
        </is>
      </c>
      <c r="D37" s="75" t="inlineStr">
        <is>
          <t>Aquarius AQB365MC</t>
        </is>
      </c>
      <c r="E37" s="75" t="inlineStr">
        <is>
          <t>Intel(R) i5-9400 2.90GHz</t>
        </is>
      </c>
      <c r="F37" s="75" t="inlineStr">
        <is>
          <t>8Gb</t>
        </is>
      </c>
      <c r="G37" s="75" t="inlineStr">
        <is>
          <t>FOXLINE_FLSSD256X5</t>
        </is>
      </c>
      <c r="H37" s="75" t="inlineStr">
        <is>
          <t>SSD 260Gb</t>
        </is>
      </c>
      <c r="I37" s="75" t="inlineStr">
        <is>
          <t>ALT Workstation 9.0</t>
        </is>
      </c>
      <c r="J37" s="75" t="inlineStr">
        <is>
          <t>1051a2</t>
        </is>
      </c>
      <c r="K37" s="75" t="inlineStr">
        <is>
          <t>HP LaserJet Pro MFP 4103</t>
        </is>
      </c>
      <c r="L37" s="75" t="inlineStr">
        <is>
          <t>ординаторская</t>
        </is>
      </c>
      <c r="M37" s="75" t="inlineStr">
        <is>
          <t>жирургия онкология 3 этаж</t>
        </is>
      </c>
      <c r="N37" s="75" t="inlineStr">
        <is>
          <t>none</t>
        </is>
      </c>
    </row>
    <row r="38" ht="20.1" customHeight="1" s="70">
      <c r="A38" s="72" t="inlineStr">
        <is>
          <t>24.08.2026</t>
        </is>
      </c>
      <c r="B38" s="73" t="inlineStr">
        <is>
          <t>10.67.64.73</t>
        </is>
      </c>
      <c r="C38" s="74" t="inlineStr">
        <is>
          <t>00:58:3F:17:5A:FA</t>
        </is>
      </c>
      <c r="D38" s="75" t="inlineStr">
        <is>
          <t>Aquarius AQH310CM</t>
        </is>
      </c>
      <c r="E38" s="75" t="inlineStr">
        <is>
          <t>Intel(R) i5-9400 2.90GHz</t>
        </is>
      </c>
      <c r="F38" s="75" t="inlineStr">
        <is>
          <t>8GB</t>
        </is>
      </c>
      <c r="G38" s="75" t="inlineStr">
        <is>
          <t>FOXLINE_FLSSD256X5</t>
        </is>
      </c>
      <c r="H38" s="75" t="inlineStr">
        <is>
          <t>SSD 260Gb</t>
        </is>
      </c>
      <c r="I38" s="75" t="inlineStr">
        <is>
          <t>ALT Workstation 9.0</t>
        </is>
      </c>
      <c r="J38" s="75" t="inlineStr">
        <is>
          <t>1051a2</t>
        </is>
      </c>
      <c r="K38" s="75" t="inlineStr">
        <is>
          <t>HP LaserJet 1320</t>
        </is>
      </c>
      <c r="L38" s="75" t="inlineStr">
        <is>
          <t>828</t>
        </is>
      </c>
      <c r="M38" s="75" t="inlineStr">
        <is>
          <t>pol1</t>
        </is>
      </c>
    </row>
    <row r="39" ht="20.1" customHeight="1" s="70">
      <c r="A39" s="66" t="inlineStr">
        <is>
          <t>29.07.2026</t>
        </is>
      </c>
      <c r="B39" s="63" t="inlineStr">
        <is>
          <t>10.67.14.168</t>
        </is>
      </c>
      <c r="C39" s="64" t="inlineStr">
        <is>
          <t>F8:CC:6E:00:AF:29</t>
        </is>
      </c>
      <c r="D39" s="65" t="inlineStr">
        <is>
          <t>DEPO Computers DPH110S</t>
        </is>
      </c>
      <c r="E39" s="65" t="inlineStr">
        <is>
          <t>Intel(R) Pentium(R) Gold G5420 3.80GHz</t>
        </is>
      </c>
      <c r="F39" s="65" t="inlineStr">
        <is>
          <t>8GB</t>
        </is>
      </c>
      <c r="G39" s="65" t="inlineStr">
        <is>
          <t>QUMO_SSD ProductCode</t>
        </is>
      </c>
      <c r="H39" s="65" t="inlineStr">
        <is>
          <t>SSD 120Gb</t>
        </is>
      </c>
      <c r="I39" s="65" t="inlineStr">
        <is>
          <t>ALT 8 SP Workstation</t>
        </is>
      </c>
      <c r="J39" s="65" t="inlineStr">
        <is>
          <t>002096</t>
        </is>
      </c>
      <c r="K39" s="65" t="inlineStr">
        <is>
          <t>unknown</t>
        </is>
      </c>
      <c r="L39" s="65" t="inlineStr">
        <is>
          <t>404</t>
        </is>
      </c>
      <c r="M39" s="65" t="inlineStr">
        <is>
          <t>pol1</t>
        </is>
      </c>
    </row>
    <row r="40" ht="20.1" customHeight="1" s="70">
      <c r="A40" s="66" t="inlineStr">
        <is>
          <t>04.08.2026</t>
        </is>
      </c>
      <c r="B40" s="63" t="inlineStr">
        <is>
          <t>10.67.28.72</t>
        </is>
      </c>
      <c r="C40" s="64" t="inlineStr">
        <is>
          <t>F8:CC:6E:00:5B:1A</t>
        </is>
      </c>
      <c r="D40" s="65" t="inlineStr">
        <is>
          <t>DEPO Computers DPH110S</t>
        </is>
      </c>
      <c r="E40" s="65" t="inlineStr">
        <is>
          <t>Intel(R) Pentium(R) Gold G5420 3.80GHz</t>
        </is>
      </c>
      <c r="F40" s="65" t="inlineStr">
        <is>
          <t>8GB</t>
        </is>
      </c>
      <c r="G40" s="65" t="inlineStr">
        <is>
          <t>QUMO_SSD</t>
        </is>
      </c>
      <c r="H40" s="65" t="inlineStr">
        <is>
          <t>SSD 120Gb</t>
        </is>
      </c>
      <c r="I40" s="65" t="inlineStr">
        <is>
          <t>ALT 8 SP Workstation</t>
        </is>
      </c>
      <c r="J40" s="65" t="inlineStr">
        <is>
          <t>002096</t>
        </is>
      </c>
      <c r="K40" s="65" t="inlineStr">
        <is>
          <t>unknown</t>
        </is>
      </c>
      <c r="L40" s="65" t="inlineStr">
        <is>
          <t>ord</t>
        </is>
      </c>
      <c r="M40" s="65" t="inlineStr">
        <is>
          <t>rod-3</t>
        </is>
      </c>
    </row>
    <row r="41" ht="20.1" customHeight="1" s="70">
      <c r="A41" s="66" t="inlineStr">
        <is>
          <t>03.08.2026</t>
        </is>
      </c>
      <c r="B41" s="63" t="inlineStr">
        <is>
          <t>10.67.28.69</t>
        </is>
      </c>
      <c r="C41" s="64" t="inlineStr">
        <is>
          <t>F8:CC:6E:00:4F:13</t>
        </is>
      </c>
      <c r="D41" s="65" t="inlineStr">
        <is>
          <t>DEPO Computers DPH110S</t>
        </is>
      </c>
      <c r="E41" s="65" t="inlineStr">
        <is>
          <t>Intel(R) Pentium(R) Gold G5420 3.80GHz</t>
        </is>
      </c>
      <c r="F41" s="65" t="inlineStr">
        <is>
          <t>8GB</t>
        </is>
      </c>
      <c r="G41" s="65" t="inlineStr">
        <is>
          <t>QUMO_SSD</t>
        </is>
      </c>
      <c r="H41" s="65" t="inlineStr">
        <is>
          <t>SSD 120Gb</t>
        </is>
      </c>
      <c r="I41" s="65" t="inlineStr">
        <is>
          <t>ALT 8 SP Workstation</t>
        </is>
      </c>
      <c r="J41" s="65" t="inlineStr">
        <is>
          <t>002096</t>
        </is>
      </c>
      <c r="K41" s="65" t="inlineStr">
        <is>
          <t>Samsung SCX-4833FD</t>
        </is>
      </c>
      <c r="L41" s="65" t="inlineStr">
        <is>
          <t>314</t>
        </is>
      </c>
      <c r="M41" s="65" t="inlineStr">
        <is>
          <t>det.pol</t>
        </is>
      </c>
    </row>
    <row r="42" ht="20.1" customHeight="1" s="70">
      <c r="A42" s="66" t="inlineStr">
        <is>
          <t>30.07.2026</t>
        </is>
      </c>
      <c r="B42" s="63" t="inlineStr">
        <is>
          <t>127.0.0.1</t>
        </is>
      </c>
      <c r="C42" s="64" t="inlineStr">
        <is>
          <t>10:FF:E0:63:F1:98</t>
        </is>
      </c>
      <c r="D42" s="65" t="inlineStr">
        <is>
          <t>Gigabyte H410M K</t>
        </is>
      </c>
      <c r="E42" s="65" t="inlineStr">
        <is>
          <t>Intel i3-10100 3.60GHz</t>
        </is>
      </c>
      <c r="F42" s="65" t="inlineStr">
        <is>
          <t>16Gb</t>
        </is>
      </c>
      <c r="G42" s="65" t="inlineStr">
        <is>
          <t>SSD</t>
        </is>
      </c>
      <c r="H42" s="65" t="inlineStr">
        <is>
          <t>SSD 440Gb</t>
        </is>
      </c>
      <c r="I42" s="65" t="inlineStr">
        <is>
          <t>Windows 10 Pro</t>
        </is>
      </c>
      <c r="J42" s="65" t="inlineStr">
        <is>
          <t>WS-016-052</t>
        </is>
      </c>
      <c r="K42" s="65" t="inlineStr">
        <is>
          <t>HP LaserJet Pro MFP 4103</t>
        </is>
      </c>
      <c r="L42" s="65" t="inlineStr">
        <is>
          <t>zav</t>
        </is>
      </c>
      <c r="M42" s="65" t="inlineStr">
        <is>
          <t>pblock</t>
        </is>
      </c>
    </row>
    <row r="43" ht="20.1" customHeight="1" s="70">
      <c r="A43" s="66" t="inlineStr">
        <is>
          <t>29.07.2026</t>
        </is>
      </c>
      <c r="B43" s="63" t="inlineStr">
        <is>
          <t>10.67.64.98</t>
        </is>
      </c>
      <c r="C43" s="64" t="inlineStr">
        <is>
          <t>00:58:3F:17:6A:B2</t>
        </is>
      </c>
      <c r="D43" s="65" t="inlineStr">
        <is>
          <t>Aquarius AQH310CM</t>
        </is>
      </c>
      <c r="E43" s="65" t="inlineStr">
        <is>
          <t>Intel(R) i5-9400 2.90GHz</t>
        </is>
      </c>
      <c r="F43" s="65" t="inlineStr">
        <is>
          <t>8GB</t>
        </is>
      </c>
      <c r="G43" s="65" t="inlineStr">
        <is>
          <t>FOXLINE_FLSSD256X5</t>
        </is>
      </c>
      <c r="H43" s="65" t="inlineStr">
        <is>
          <t>SSD 256Gb</t>
        </is>
      </c>
      <c r="I43" s="65" t="inlineStr">
        <is>
          <t>ALT Workstation 9.0</t>
        </is>
      </c>
      <c r="J43" s="65" t="inlineStr">
        <is>
          <t>1051a2</t>
        </is>
      </c>
      <c r="K43" s="65" t="inlineStr">
        <is>
          <t>HP LaserJet Pro M426fdn</t>
        </is>
      </c>
      <c r="L43" s="65" t="inlineStr">
        <is>
          <t>reg.raspis</t>
        </is>
      </c>
      <c r="M43" s="65" t="inlineStr">
        <is>
          <t>pol1</t>
        </is>
      </c>
    </row>
    <row r="44" ht="20.1" customHeight="1" s="70">
      <c r="A44" s="66" t="inlineStr">
        <is>
          <t>07.08.2026</t>
        </is>
      </c>
      <c r="B44" s="63" t="inlineStr">
        <is>
          <t>10.67.64.77</t>
        </is>
      </c>
      <c r="C44" s="64" t="inlineStr">
        <is>
          <t>00:58:3F:17:6A:00</t>
        </is>
      </c>
      <c r="D44" s="65" t="inlineStr">
        <is>
          <t>Aquarius AQH310CM</t>
        </is>
      </c>
      <c r="E44" s="65" t="inlineStr">
        <is>
          <t>Intel(R) i5-9400 2.90GHz</t>
        </is>
      </c>
      <c r="F44" s="65" t="inlineStr">
        <is>
          <t>8GB</t>
        </is>
      </c>
      <c r="G44" s="65" t="inlineStr">
        <is>
          <t>FOXLINE_FLSSD256X5</t>
        </is>
      </c>
      <c r="H44" s="65" t="inlineStr">
        <is>
          <t>SSD 260Gb</t>
        </is>
      </c>
      <c r="I44" s="65" t="inlineStr">
        <is>
          <t>ALT Workstation 9.0</t>
        </is>
      </c>
      <c r="J44" s="65" t="inlineStr">
        <is>
          <t>1051a2</t>
        </is>
      </c>
      <c r="K44" s="65" t="inlineStr">
        <is>
          <t>Samsung SCX-4833</t>
        </is>
      </c>
      <c r="L44" s="65" t="inlineStr">
        <is>
          <t>423</t>
        </is>
      </c>
      <c r="M44" s="65" t="inlineStr">
        <is>
          <t>pol1</t>
        </is>
      </c>
    </row>
    <row r="45" ht="20.1" customHeight="1" s="70">
      <c r="A45" s="66" t="inlineStr">
        <is>
          <t>29.07.2026</t>
        </is>
      </c>
      <c r="B45" s="63" t="inlineStr">
        <is>
          <t>10.67.64.46</t>
        </is>
      </c>
      <c r="C45" s="64" t="inlineStr">
        <is>
          <t>00:58:3F:17:69:FE</t>
        </is>
      </c>
      <c r="D45" s="65" t="inlineStr">
        <is>
          <t>Aquarius AQH310CM</t>
        </is>
      </c>
      <c r="E45" s="65" t="inlineStr">
        <is>
          <t>Intel(R) i5-9400 2.90GHz</t>
        </is>
      </c>
      <c r="F45" s="65" t="inlineStr">
        <is>
          <t>8GB</t>
        </is>
      </c>
      <c r="G45" s="65" t="inlineStr">
        <is>
          <t>FOXLINE_FLSSD256X5</t>
        </is>
      </c>
      <c r="H45" s="65" t="inlineStr">
        <is>
          <t>SSD 256Gb</t>
        </is>
      </c>
      <c r="I45" s="65" t="inlineStr">
        <is>
          <t>ALT Workstation 9.0</t>
        </is>
      </c>
      <c r="J45" s="65" t="inlineStr">
        <is>
          <t>1051a2</t>
        </is>
      </c>
      <c r="K45" s="65" t="inlineStr">
        <is>
          <t>Cups-PDF</t>
        </is>
      </c>
      <c r="L45" s="65" t="inlineStr">
        <is>
          <t>923</t>
        </is>
      </c>
      <c r="M45" s="65" t="inlineStr">
        <is>
          <t>pol1</t>
        </is>
      </c>
    </row>
    <row r="46" ht="20.1" customHeight="1" s="70">
      <c r="A46" s="66" t="inlineStr">
        <is>
          <t>06.08.2026</t>
        </is>
      </c>
      <c r="B46" s="63" t="inlineStr">
        <is>
          <t>10.67.64.67</t>
        </is>
      </c>
      <c r="C46" s="64" t="inlineStr">
        <is>
          <t>00:58:3F:17:57:F8</t>
        </is>
      </c>
      <c r="D46" s="65" t="inlineStr">
        <is>
          <t>Aquarius AQH310CM</t>
        </is>
      </c>
      <c r="E46" s="65" t="inlineStr">
        <is>
          <t>Intel(R) i5-9400 2.90GHz</t>
        </is>
      </c>
      <c r="F46" s="65" t="inlineStr">
        <is>
          <t>8GB</t>
        </is>
      </c>
      <c r="G46" s="65" t="inlineStr">
        <is>
          <t>FOXLINE_FLSSD256X5</t>
        </is>
      </c>
      <c r="H46" s="65" t="inlineStr">
        <is>
          <t>SSD 260Gb</t>
        </is>
      </c>
      <c r="I46" s="65" t="inlineStr">
        <is>
          <t>ALT Workstation 9.0</t>
        </is>
      </c>
      <c r="J46" s="65" t="inlineStr">
        <is>
          <t>1051a2</t>
        </is>
      </c>
      <c r="K46" s="65" t="inlineStr">
        <is>
          <t>HP_LaserJet_Professional_P1102</t>
        </is>
      </c>
      <c r="L46" s="65" t="inlineStr">
        <is>
          <t>522</t>
        </is>
      </c>
      <c r="M46" s="65" t="inlineStr">
        <is>
          <t>pol1</t>
        </is>
      </c>
    </row>
    <row r="47" ht="20.1" customHeight="1" s="70">
      <c r="A47" s="66" t="inlineStr">
        <is>
          <t>07.08.2026</t>
        </is>
      </c>
      <c r="B47" s="63" t="inlineStr">
        <is>
          <t>10.67.64.56</t>
        </is>
      </c>
      <c r="C47" s="64" t="inlineStr">
        <is>
          <t>00:58:3F:17:57:6A</t>
        </is>
      </c>
      <c r="D47" s="65" t="inlineStr">
        <is>
          <t>Aquarius AQH310CM</t>
        </is>
      </c>
      <c r="E47" s="65" t="inlineStr">
        <is>
          <t>Intel(R) i5-9400 2.90GHz</t>
        </is>
      </c>
      <c r="F47" s="65" t="inlineStr">
        <is>
          <t>8GB</t>
        </is>
      </c>
      <c r="G47" s="65" t="inlineStr">
        <is>
          <t>FOXLINE_FLSSD256X5</t>
        </is>
      </c>
      <c r="H47" s="65" t="inlineStr">
        <is>
          <t>SSD 260Gb</t>
        </is>
      </c>
      <c r="I47" s="65" t="inlineStr">
        <is>
          <t>ALT Workstation 9.0</t>
        </is>
      </c>
      <c r="J47" s="65" t="inlineStr">
        <is>
          <t>1051a2</t>
        </is>
      </c>
      <c r="K47" s="65" t="inlineStr">
        <is>
          <t>HP_LaserJet_P2055d</t>
        </is>
      </c>
      <c r="L47" s="65" t="inlineStr">
        <is>
          <t>740</t>
        </is>
      </c>
      <c r="M47" s="65" t="inlineStr">
        <is>
          <t>pol1</t>
        </is>
      </c>
    </row>
    <row r="48" ht="20.1" customHeight="1" s="70">
      <c r="A48" s="62" t="inlineStr">
        <is>
          <t>29.07.2026</t>
        </is>
      </c>
      <c r="B48" s="63" t="inlineStr">
        <is>
          <t>10.67.14.168</t>
        </is>
      </c>
      <c r="C48" s="64" t="inlineStr">
        <is>
          <t>F8:CC:6E:00:AF:29</t>
        </is>
      </c>
      <c r="D48" s="61" t="inlineStr">
        <is>
          <t>DEPO Computers DPH110S</t>
        </is>
      </c>
      <c r="E48" s="61" t="inlineStr">
        <is>
          <t>Intel(R) Pentium(R) Gold G5420 3.80GHz</t>
        </is>
      </c>
      <c r="F48" s="61" t="inlineStr">
        <is>
          <t>8GB</t>
        </is>
      </c>
      <c r="G48" s="61" t="inlineStr">
        <is>
          <t>QUMO_SSD ProductCode</t>
        </is>
      </c>
      <c r="H48" s="61" t="inlineStr">
        <is>
          <t>SSD 120Gb</t>
        </is>
      </c>
      <c r="I48" s="61" t="inlineStr">
        <is>
          <t>ALT 8 SP Workstation</t>
        </is>
      </c>
      <c r="J48" s="61" t="inlineStr">
        <is>
          <t>002096</t>
        </is>
      </c>
      <c r="K48" s="61" t="inlineStr">
        <is>
          <t>unknown</t>
        </is>
      </c>
      <c r="L48" s="61" t="inlineStr">
        <is>
          <t>404</t>
        </is>
      </c>
      <c r="M48" s="61" t="inlineStr">
        <is>
          <t>pol1</t>
        </is>
      </c>
    </row>
    <row r="49" ht="20.1" customHeight="1" s="70">
      <c r="A49" s="62" t="inlineStr">
        <is>
          <t>04.08.2026</t>
        </is>
      </c>
      <c r="B49" s="63" t="inlineStr">
        <is>
          <t>10.67.28.72</t>
        </is>
      </c>
      <c r="C49" s="64" t="inlineStr">
        <is>
          <t>F8:CC:6E:00:5B:1A</t>
        </is>
      </c>
      <c r="D49" s="61" t="inlineStr">
        <is>
          <t>DEPO Computers DPH110S</t>
        </is>
      </c>
      <c r="E49" s="61" t="inlineStr">
        <is>
          <t>Intel(R) Pentium(R) Gold G5420 3.80GHz</t>
        </is>
      </c>
      <c r="F49" s="61" t="inlineStr">
        <is>
          <t>8GB</t>
        </is>
      </c>
      <c r="G49" s="61" t="inlineStr">
        <is>
          <t>QUMO_SSD</t>
        </is>
      </c>
      <c r="H49" s="61" t="inlineStr">
        <is>
          <t>SSD 120Gb</t>
        </is>
      </c>
      <c r="I49" s="61" t="inlineStr">
        <is>
          <t>ALT 8 SP Workstation</t>
        </is>
      </c>
      <c r="J49" s="61" t="inlineStr">
        <is>
          <t>002096</t>
        </is>
      </c>
      <c r="K49" s="61" t="inlineStr">
        <is>
          <t>unknown</t>
        </is>
      </c>
      <c r="L49" s="61" t="inlineStr">
        <is>
          <t>ord</t>
        </is>
      </c>
      <c r="M49" s="61" t="inlineStr">
        <is>
          <t>rod3</t>
        </is>
      </c>
    </row>
    <row r="50" ht="20.1" customHeight="1" s="70">
      <c r="A50" s="62" t="inlineStr">
        <is>
          <t>03.08.2026</t>
        </is>
      </c>
      <c r="B50" s="63" t="inlineStr">
        <is>
          <t>10.67.28.69</t>
        </is>
      </c>
      <c r="C50" s="64" t="inlineStr">
        <is>
          <t>F8:CC:6E:00:4F:13</t>
        </is>
      </c>
      <c r="D50" s="61" t="inlineStr">
        <is>
          <t>DEPO Computers DPH110S</t>
        </is>
      </c>
      <c r="E50" s="61" t="inlineStr">
        <is>
          <t>Intel(R) Pentium(R) Gold G5420 3.80GHz</t>
        </is>
      </c>
      <c r="F50" s="61" t="inlineStr">
        <is>
          <t>8GB</t>
        </is>
      </c>
      <c r="G50" s="61" t="inlineStr">
        <is>
          <t>QUMO_SSD</t>
        </is>
      </c>
      <c r="H50" s="61" t="inlineStr">
        <is>
          <t>SSD 120Gb</t>
        </is>
      </c>
      <c r="I50" s="61" t="inlineStr">
        <is>
          <t>ALT 8 SP Workstation</t>
        </is>
      </c>
      <c r="J50" s="61" t="inlineStr">
        <is>
          <t>002096</t>
        </is>
      </c>
      <c r="K50" s="61" t="inlineStr">
        <is>
          <t>samsung4833</t>
        </is>
      </c>
      <c r="L50" s="61" t="inlineStr">
        <is>
          <t>314</t>
        </is>
      </c>
      <c r="M50" s="61" t="inlineStr">
        <is>
          <t>det.pol</t>
        </is>
      </c>
    </row>
    <row r="51" ht="20.1" customHeight="1" s="70">
      <c r="A51" s="62" t="inlineStr">
        <is>
          <t>30.07.2026</t>
        </is>
      </c>
      <c r="B51" s="63" t="inlineStr">
        <is>
          <t>127.0.0.1</t>
        </is>
      </c>
      <c r="C51" s="64" t="inlineStr">
        <is>
          <t>10:FF:E0:63:F1:98</t>
        </is>
      </c>
      <c r="D51" s="61" t="inlineStr">
        <is>
          <t>Gigabyte H410M K</t>
        </is>
      </c>
      <c r="E51" s="61" t="inlineStr">
        <is>
          <t>Intel i3-10100 3.60GHz</t>
        </is>
      </c>
      <c r="F51" s="61" t="inlineStr">
        <is>
          <t>16Gb</t>
        </is>
      </c>
      <c r="G51" s="61" t="inlineStr">
        <is>
          <t>SSD</t>
        </is>
      </c>
      <c r="H51" s="61" t="inlineStr">
        <is>
          <t>SSD 440Gb</t>
        </is>
      </c>
      <c r="I51" s="61" t="inlineStr">
        <is>
          <t>Windows 10 Pro</t>
        </is>
      </c>
      <c r="J51" s="61" t="inlineStr">
        <is>
          <t>WS-016-052</t>
        </is>
      </c>
      <c r="K51" s="61" t="inlineStr">
        <is>
          <t>HP LaserJet Pro MFP 4103</t>
        </is>
      </c>
      <c r="L51" s="61" t="inlineStr">
        <is>
          <t>zav</t>
        </is>
      </c>
      <c r="M51" s="61" t="inlineStr">
        <is>
          <t>pblock</t>
        </is>
      </c>
    </row>
    <row r="52" ht="20.1" customHeight="1" s="70">
      <c r="A52" s="62" t="inlineStr">
        <is>
          <t>29.07.2026</t>
        </is>
      </c>
      <c r="B52" s="63" t="inlineStr">
        <is>
          <t>10.67.64.98</t>
        </is>
      </c>
      <c r="C52" s="64" t="inlineStr">
        <is>
          <t>00:58:3F:17:6A:B2</t>
        </is>
      </c>
      <c r="D52" s="61" t="inlineStr">
        <is>
          <t>Aquarius AQH310CM</t>
        </is>
      </c>
      <c r="E52" s="61" t="inlineStr">
        <is>
          <t>Intel(R) i5-9400 2.90GHz</t>
        </is>
      </c>
      <c r="F52" s="61" t="inlineStr">
        <is>
          <t>8GB</t>
        </is>
      </c>
      <c r="G52" s="61" t="inlineStr">
        <is>
          <t>FOXLINE_FLSSD256X5</t>
        </is>
      </c>
      <c r="H52" s="61" t="inlineStr">
        <is>
          <t>SSD 256Gb</t>
        </is>
      </c>
      <c r="I52" s="61" t="inlineStr">
        <is>
          <t>ALT Workstation 9.0</t>
        </is>
      </c>
      <c r="J52" s="61" t="inlineStr">
        <is>
          <t>1051a2</t>
        </is>
      </c>
      <c r="K52" s="61" t="inlineStr">
        <is>
          <t>M428f</t>
        </is>
      </c>
      <c r="L52" s="61" t="inlineStr">
        <is>
          <t>reg.raspis</t>
        </is>
      </c>
      <c r="M52" s="61" t="inlineStr">
        <is>
          <t>pol1</t>
        </is>
      </c>
    </row>
    <row r="53" ht="20.1" customHeight="1" s="70">
      <c r="A53" s="62" t="inlineStr">
        <is>
          <t>29.07.2026</t>
        </is>
      </c>
      <c r="B53" s="63" t="inlineStr">
        <is>
          <t>10.67.64.46</t>
        </is>
      </c>
      <c r="C53" s="64" t="inlineStr">
        <is>
          <t>00:58:3F:17:69:FE</t>
        </is>
      </c>
      <c r="D53" s="61" t="inlineStr">
        <is>
          <t>Aquarius AQH310CM</t>
        </is>
      </c>
      <c r="E53" s="61" t="inlineStr">
        <is>
          <t>Intel(R) i5-9400 2.90GHz</t>
        </is>
      </c>
      <c r="F53" s="61" t="inlineStr">
        <is>
          <t>8GB</t>
        </is>
      </c>
      <c r="G53" s="61" t="inlineStr">
        <is>
          <t>FOXLINE_FLSSD256X5</t>
        </is>
      </c>
      <c r="H53" s="61" t="inlineStr">
        <is>
          <t>SSD 256Gb</t>
        </is>
      </c>
      <c r="I53" s="61" t="inlineStr">
        <is>
          <t>ALT Workstation 9.0</t>
        </is>
      </c>
      <c r="J53" s="61" t="inlineStr">
        <is>
          <t>1051a2</t>
        </is>
      </c>
      <c r="K53" s="61" t="inlineStr">
        <is>
          <t>Cups-PDF</t>
        </is>
      </c>
      <c r="L53" s="61" t="inlineStr">
        <is>
          <t>923</t>
        </is>
      </c>
      <c r="M53" s="61" t="inlineStr">
        <is>
          <t>pol1</t>
        </is>
      </c>
    </row>
    <row r="54" ht="20.1" customHeight="1" s="70">
      <c r="A54" s="59" t="n">
        <v>46231</v>
      </c>
      <c r="B54" s="63" t="inlineStr">
        <is>
          <t>10.67.2.33</t>
        </is>
      </c>
      <c r="C54" s="64" t="inlineStr">
        <is>
          <t>F0-B4-D2-2C-6D-1D</t>
        </is>
      </c>
      <c r="D54" s="61" t="inlineStr">
        <is>
          <t>Gigabyte H510M H</t>
        </is>
      </c>
      <c r="E54" s="61" t="inlineStr">
        <is>
          <t>Intel i3-10100 3.60GHz</t>
        </is>
      </c>
      <c r="F54" s="61" t="inlineStr">
        <is>
          <t>8Gb</t>
        </is>
      </c>
      <c r="G54" s="61" t="inlineStr">
        <is>
          <t>KINGSTON SA400S37480G</t>
        </is>
      </c>
      <c r="H54" s="61" t="inlineStr">
        <is>
          <t>SSD 480Gb</t>
        </is>
      </c>
      <c r="I54" s="61" t="inlineStr">
        <is>
          <t>Windows 10 IoT Enterprise LTSC</t>
        </is>
      </c>
      <c r="J54" s="61" t="inlineStr">
        <is>
          <t>KOMPUTER</t>
        </is>
      </c>
      <c r="K54" s="61" t="inlineStr">
        <is>
          <t>HP LaserJet Pro M428fdw</t>
        </is>
      </c>
      <c r="L54" s="61" t="inlineStr">
        <is>
          <t>318</t>
        </is>
      </c>
      <c r="M54" s="61" t="inlineStr">
        <is>
          <t>uprav</t>
        </is>
      </c>
    </row>
    <row r="55" ht="15.75" customHeight="1" s="70">
      <c r="A55" s="58" t="n">
        <v>46232</v>
      </c>
      <c r="B55" s="63" t="inlineStr">
        <is>
          <t>10.67.14.88</t>
        </is>
      </c>
      <c r="C55" s="64" t="inlineStr">
        <is>
          <t>D0-27-88-9A-7C-7C</t>
        </is>
      </c>
      <c r="D55" s="61" t="inlineStr">
        <is>
          <t>Foxconn H61S</t>
        </is>
      </c>
      <c r="E55" s="61" t="inlineStr">
        <is>
          <t>Intel Celeron CPU G530 2.40GHz</t>
        </is>
      </c>
      <c r="F55" s="61" t="inlineStr">
        <is>
          <t>12Gb</t>
        </is>
      </c>
      <c r="G55" s="61" t="inlineStr">
        <is>
          <t>WD Green</t>
        </is>
      </c>
      <c r="H55" s="61" t="inlineStr">
        <is>
          <t>SSD 500Gb</t>
        </is>
      </c>
      <c r="I55" s="61" t="inlineStr">
        <is>
          <t>Windows 10 Pro</t>
        </is>
      </c>
      <c r="J55" s="61" t="inlineStr">
        <is>
          <t>WS-014-088</t>
        </is>
      </c>
      <c r="K55" s="61" t="inlineStr">
        <is>
          <t>Samsung SCX-483x 5x3x Series</t>
        </is>
      </c>
      <c r="L55" s="61" t="inlineStr">
        <is>
          <t>923</t>
        </is>
      </c>
      <c r="M55" s="61" t="inlineStr">
        <is>
          <t>pol1 khl</t>
        </is>
      </c>
    </row>
    <row r="56" ht="15.75" customHeight="1" s="70">
      <c r="A56" s="57" t="n">
        <v>46232</v>
      </c>
      <c r="B56" s="63" t="inlineStr">
        <is>
          <t>10.67.64.46</t>
        </is>
      </c>
      <c r="C56" s="64" t="inlineStr">
        <is>
          <t>00:58:3F:17:69:FE</t>
        </is>
      </c>
      <c r="D56" s="61" t="inlineStr">
        <is>
          <t>Aquarius AQH310CM</t>
        </is>
      </c>
      <c r="E56" s="61" t="inlineStr">
        <is>
          <t>Intel(R) i5-9400 2.90GHz</t>
        </is>
      </c>
      <c r="F56" s="61" t="inlineStr">
        <is>
          <t>8GB</t>
        </is>
      </c>
      <c r="G56" s="61" t="inlineStr">
        <is>
          <t>FOXLINE_FLSSD256X5</t>
        </is>
      </c>
      <c r="H56" s="61" t="inlineStr">
        <is>
          <t>SSD 256Gb</t>
        </is>
      </c>
      <c r="I56" s="61" t="inlineStr">
        <is>
          <t>ALT Workstation 9.0</t>
        </is>
      </c>
      <c r="J56" s="61" t="inlineStr">
        <is>
          <t>1051a2</t>
        </is>
      </c>
      <c r="K56" s="61" t="inlineStr">
        <is>
          <t>Cups-PDF</t>
        </is>
      </c>
      <c r="L56" s="61" t="inlineStr">
        <is>
          <t>923</t>
        </is>
      </c>
      <c r="M56" s="61" t="inlineStr">
        <is>
          <t>pol1 khl</t>
        </is>
      </c>
    </row>
    <row r="57" ht="15.75" customHeight="1" s="70">
      <c r="A57" s="56" t="n">
        <v>46231</v>
      </c>
      <c r="B57" s="63" t="inlineStr">
        <is>
          <t>10.67.24.12</t>
        </is>
      </c>
      <c r="C57" s="64" t="inlineStr">
        <is>
          <t>04-D9-F5-81-FB-29</t>
        </is>
      </c>
      <c r="D57" s="61" t="inlineStr">
        <is>
          <t>ASUSTeK PRIME A320M-A</t>
        </is>
      </c>
      <c r="E57" s="61" t="inlineStr">
        <is>
          <t>AMD Ryzen 5 3400G</t>
        </is>
      </c>
      <c r="F57" s="61" t="inlineStr">
        <is>
          <t>6GiB</t>
        </is>
      </c>
      <c r="G57" s="61" t="inlineStr">
        <is>
          <t>WDC WD5003ABYX-01WERA1</t>
        </is>
      </c>
      <c r="H57" s="61" t="inlineStr">
        <is>
          <t>500Gb</t>
        </is>
      </c>
      <c r="I57" s="61" t="inlineStr">
        <is>
          <t>Windows 10 Pro</t>
        </is>
      </c>
      <c r="J57" s="61" t="inlineStr">
        <is>
          <t>WS-024-012</t>
        </is>
      </c>
      <c r="K57" s="61" t="inlineStr">
        <is>
          <t>HP LaserJet Pro M404dn</t>
        </is>
      </c>
      <c r="L57" s="61" t="inlineStr">
        <is>
          <t>disp</t>
        </is>
      </c>
      <c r="M57" s="61" t="inlineStr">
        <is>
          <t>skp</t>
        </is>
      </c>
    </row>
    <row r="58" ht="15.75" customHeight="1" s="70">
      <c r="A58" s="55" t="n">
        <v>46230</v>
      </c>
      <c r="B58" s="63" t="inlineStr">
        <is>
          <t>10.67.28.59</t>
        </is>
      </c>
      <c r="C58" s="64" t="inlineStr">
        <is>
          <t>F8:CC:6E:00:B1:CF</t>
        </is>
      </c>
      <c r="D58" s="61" t="inlineStr">
        <is>
          <t>DEPO Computers DPH110S</t>
        </is>
      </c>
      <c r="E58" s="61" t="inlineStr">
        <is>
          <t>Intel(R) G5420 3.80GHz</t>
        </is>
      </c>
      <c r="F58" s="61" t="inlineStr">
        <is>
          <t>8 GB</t>
        </is>
      </c>
      <c r="G58" s="61" t="inlineStr">
        <is>
          <t xml:space="preserve">KINGSTON_SA400S37240G </t>
        </is>
      </c>
      <c r="H58" s="61" t="inlineStr">
        <is>
          <t>SSD 240Gb</t>
        </is>
      </c>
      <c r="I58" s="61" t="inlineStr">
        <is>
          <t>ALT 8 SP Workstation</t>
        </is>
      </c>
      <c r="J58" s="61" t="n">
        <v>2096</v>
      </c>
      <c r="K58" s="61" t="inlineStr">
        <is>
          <t>HP LaserJet Pro M428f-M429f</t>
        </is>
      </c>
      <c r="L58" s="61" t="inlineStr">
        <is>
          <t>registr</t>
        </is>
      </c>
      <c r="M58" s="61" t="inlineStr">
        <is>
          <t>pol1</t>
        </is>
      </c>
    </row>
    <row r="59" ht="15.75" customHeight="1" s="70">
      <c r="A59" s="47" t="n">
        <v>46225</v>
      </c>
      <c r="B59" s="63" t="inlineStr">
        <is>
          <t>10.67.64.107</t>
        </is>
      </c>
      <c r="C59" s="64" t="inlineStr">
        <is>
          <t>00:58:3F:0F:4C:F7</t>
        </is>
      </c>
      <c r="D59" s="61" t="inlineStr">
        <is>
          <t>Aquarius AQB365MC</t>
        </is>
      </c>
      <c r="E59" s="61" t="inlineStr">
        <is>
          <t>Intel(R) i5-9400 2.90GHz</t>
        </is>
      </c>
      <c r="F59" s="61" t="inlineStr">
        <is>
          <t>8GB</t>
        </is>
      </c>
      <c r="G59" s="61" t="inlineStr">
        <is>
          <t xml:space="preserve">FOXLINE_FLSSD256X5 </t>
        </is>
      </c>
      <c r="H59" s="61" t="inlineStr">
        <is>
          <t>SSD 256Gb</t>
        </is>
      </c>
      <c r="I59" s="61" t="inlineStr">
        <is>
          <t>ALT Workstation 9.0</t>
        </is>
      </c>
      <c r="J59" s="61" t="inlineStr">
        <is>
          <t>1051a2</t>
        </is>
      </c>
      <c r="K59" s="61" t="inlineStr">
        <is>
          <t>Pantum BP5100DN</t>
        </is>
      </c>
      <c r="L59" s="61" t="inlineStr">
        <is>
          <t>325</t>
        </is>
      </c>
      <c r="M59" s="61" t="inlineStr">
        <is>
          <t>pol1</t>
        </is>
      </c>
    </row>
    <row r="60" ht="15.75" customHeight="1" s="70">
      <c r="A60" s="46" t="n">
        <v>46225</v>
      </c>
      <c r="B60" s="63" t="inlineStr">
        <is>
          <t>10.67.64.5</t>
        </is>
      </c>
      <c r="C60" s="64" t="inlineStr">
        <is>
          <t>00:58:3F:17:58:0C</t>
        </is>
      </c>
      <c r="D60" s="61" t="inlineStr">
        <is>
          <t>Aquarius AQH310CM</t>
        </is>
      </c>
      <c r="E60" s="61" t="inlineStr">
        <is>
          <t>Intel(R) i5-9400 2.90GHz</t>
        </is>
      </c>
      <c r="F60" s="61" t="inlineStr">
        <is>
          <t>8GB</t>
        </is>
      </c>
      <c r="G60" s="61" t="inlineStr">
        <is>
          <t>FOXLINE_FLSSD256X5</t>
        </is>
      </c>
      <c r="H60" s="61" t="inlineStr">
        <is>
          <t>SSD 256Gb</t>
        </is>
      </c>
      <c r="I60" s="61" t="inlineStr">
        <is>
          <t>ALT Workstation 9.0</t>
        </is>
      </c>
      <c r="J60" s="61" t="inlineStr">
        <is>
          <t>1051a2</t>
        </is>
      </c>
      <c r="K60" s="61" t="inlineStr">
        <is>
          <t>HP M428</t>
        </is>
      </c>
      <c r="L60" s="61" t="inlineStr">
        <is>
          <t>registr</t>
        </is>
      </c>
      <c r="M60" s="61" t="inlineStr">
        <is>
          <t>pol1-3level</t>
        </is>
      </c>
    </row>
    <row r="61" ht="15.75" customHeight="1" s="70">
      <c r="A61" s="45" t="n">
        <v>46226</v>
      </c>
      <c r="B61" s="63" t="inlineStr">
        <is>
          <t>10.67.64.26</t>
        </is>
      </c>
      <c r="C61" s="64" t="inlineStr">
        <is>
          <t>00:58:3F:17:76:0C</t>
        </is>
      </c>
      <c r="D61" s="61" t="inlineStr">
        <is>
          <t>Aquarius AQH310CM</t>
        </is>
      </c>
      <c r="E61" s="61" t="inlineStr">
        <is>
          <t>Intel(R) i5-9400 2.90GHz</t>
        </is>
      </c>
      <c r="F61" s="61" t="inlineStr">
        <is>
          <t>8 GB</t>
        </is>
      </c>
      <c r="G61" s="61" t="inlineStr">
        <is>
          <t xml:space="preserve">FOXLINE_FLSSD256X5 </t>
        </is>
      </c>
      <c r="H61" s="61" t="inlineStr">
        <is>
          <t>SSD 256Gb</t>
        </is>
      </c>
      <c r="I61" s="61" t="inlineStr">
        <is>
          <t>ALT Workstation 9.0</t>
        </is>
      </c>
      <c r="J61" s="61" t="inlineStr">
        <is>
          <t>1051a2</t>
        </is>
      </c>
      <c r="K61" s="61" t="inlineStr">
        <is>
          <t>Samsung-SCX-483x-5x3x-Series</t>
        </is>
      </c>
      <c r="L61" s="61" t="inlineStr">
        <is>
          <t>817</t>
        </is>
      </c>
      <c r="M61" s="61" t="inlineStr">
        <is>
          <t>pol1</t>
        </is>
      </c>
    </row>
    <row r="62" ht="15.75" customHeight="1" s="70">
      <c r="A62" s="44" t="n">
        <v>46225</v>
      </c>
      <c r="B62" s="63" t="inlineStr">
        <is>
          <t>10.67.64.2</t>
        </is>
      </c>
      <c r="C62" s="64" t="inlineStr">
        <is>
          <t>00:58:3F:17:76:20</t>
        </is>
      </c>
      <c r="D62" s="61" t="inlineStr">
        <is>
          <t>Aquarius AQH310CM</t>
        </is>
      </c>
      <c r="E62" s="61" t="inlineStr">
        <is>
          <t>Intel(R) i5-9400 2.90GHz</t>
        </is>
      </c>
      <c r="F62" s="61" t="inlineStr">
        <is>
          <t>8GB</t>
        </is>
      </c>
      <c r="G62" s="61" t="inlineStr">
        <is>
          <t>FOXLINE_FLSSD256X5</t>
        </is>
      </c>
      <c r="H62" s="61" t="inlineStr">
        <is>
          <t>SSD 256Gb</t>
        </is>
      </c>
      <c r="I62" s="61" t="inlineStr">
        <is>
          <t>ALT Workstation 9.0</t>
        </is>
      </c>
      <c r="J62" s="61" t="inlineStr">
        <is>
          <t>1051a2</t>
        </is>
      </c>
      <c r="K62" s="61" t="inlineStr">
        <is>
          <t>HP M428</t>
        </is>
      </c>
      <c r="L62" s="61" t="inlineStr">
        <is>
          <t>registr</t>
        </is>
      </c>
      <c r="M62" s="61" t="inlineStr">
        <is>
          <t>pol1-3level</t>
        </is>
      </c>
    </row>
    <row r="63" ht="15.75" customHeight="1" s="70">
      <c r="A63" s="43" t="n">
        <v>46227</v>
      </c>
      <c r="B63" s="63" t="inlineStr">
        <is>
          <t>10.67.28.73</t>
        </is>
      </c>
      <c r="C63" s="64" t="inlineStr">
        <is>
          <t>F8:CC:6E:00:AF:9E</t>
        </is>
      </c>
      <c r="D63" s="61" t="inlineStr">
        <is>
          <t>DEPO Computers DPH110S</t>
        </is>
      </c>
      <c r="E63" s="61" t="inlineStr">
        <is>
          <t>Intel(R) G5420 3.80GHz</t>
        </is>
      </c>
      <c r="F63" s="61" t="inlineStr">
        <is>
          <t>8GB</t>
        </is>
      </c>
      <c r="G63" s="61" t="inlineStr">
        <is>
          <t>QUMO_SSD</t>
        </is>
      </c>
      <c r="H63" s="61" t="inlineStr">
        <is>
          <t>SSD 120Gb</t>
        </is>
      </c>
      <c r="I63" s="61" t="inlineStr">
        <is>
          <t>ALT 8 SP Workstation</t>
        </is>
      </c>
      <c r="J63" s="61" t="inlineStr">
        <is>
          <t>002096</t>
        </is>
      </c>
      <c r="K63" s="61" t="inlineStr">
        <is>
          <t>HP Laserjet M14-M17</t>
        </is>
      </c>
      <c r="L63" s="61" t="inlineStr">
        <is>
          <t>1</t>
        </is>
      </c>
      <c r="M63" s="61" t="inlineStr">
        <is>
          <t>pat.anatom.</t>
        </is>
      </c>
    </row>
    <row r="64" ht="15.75" customHeight="1" s="70">
      <c r="A64" s="40" t="n">
        <v>46220</v>
      </c>
      <c r="B64" s="63" t="inlineStr">
        <is>
          <t>10.67.12.70</t>
        </is>
      </c>
      <c r="C64" s="64" t="inlineStr">
        <is>
          <t>00:58:3F:16:57:0A</t>
        </is>
      </c>
      <c r="D64" s="61" t="inlineStr">
        <is>
          <t>Aquarius AQB365MC</t>
        </is>
      </c>
      <c r="E64" s="61" t="inlineStr">
        <is>
          <t>Intel(R) i5-9400 2.90GHz</t>
        </is>
      </c>
      <c r="F64" s="61" t="inlineStr">
        <is>
          <t>8GB</t>
        </is>
      </c>
      <c r="G64" s="61" t="inlineStr">
        <is>
          <t>FOXLINE_FLSSD256X5</t>
        </is>
      </c>
      <c r="H64" s="61" t="inlineStr">
        <is>
          <t>SSD 256Gb</t>
        </is>
      </c>
      <c r="I64" s="61" t="inlineStr">
        <is>
          <t>ALT Workstation 9.0</t>
        </is>
      </c>
      <c r="J64" s="61" t="inlineStr">
        <is>
          <t>1051a2</t>
        </is>
      </c>
      <c r="K64" s="61" t="inlineStr">
        <is>
          <t>unknown</t>
        </is>
      </c>
      <c r="L64" s="61" t="inlineStr">
        <is>
          <t>st.ses</t>
        </is>
      </c>
      <c r="M64" s="61" t="inlineStr">
        <is>
          <t>h5</t>
        </is>
      </c>
    </row>
    <row r="65">
      <c r="A65" s="39" t="n">
        <v>46218</v>
      </c>
      <c r="B65" s="63" t="inlineStr">
        <is>
          <t>10.67.12.49</t>
        </is>
      </c>
      <c r="C65" s="64" t="inlineStr">
        <is>
          <t>00:58:3F:0F:47:D7</t>
        </is>
      </c>
      <c r="D65" s="61" t="inlineStr">
        <is>
          <t>Aquarius AQB365MC</t>
        </is>
      </c>
      <c r="E65" s="61" t="inlineStr">
        <is>
          <t>Intel(R) i5-9400 2.90GHz</t>
        </is>
      </c>
      <c r="F65" s="61" t="inlineStr">
        <is>
          <t>8GB</t>
        </is>
      </c>
      <c r="G65" s="61" t="inlineStr">
        <is>
          <t>FOXLINE_FLSSD256X5</t>
        </is>
      </c>
      <c r="H65" s="61" t="inlineStr">
        <is>
          <t>SSD 256Gb</t>
        </is>
      </c>
      <c r="I65" s="61" t="inlineStr">
        <is>
          <t>ALT Workstation 9.0</t>
        </is>
      </c>
      <c r="J65" s="61" t="inlineStr">
        <is>
          <t>1051a2</t>
        </is>
      </c>
      <c r="K65" s="61" t="inlineStr">
        <is>
          <t>unknown</t>
        </is>
      </c>
      <c r="L65" s="61" t="inlineStr">
        <is>
          <t>sts</t>
        </is>
      </c>
      <c r="M65" s="61" t="inlineStr">
        <is>
          <t>h2</t>
        </is>
      </c>
    </row>
    <row r="66">
      <c r="A66" s="38" t="n">
        <v>46218</v>
      </c>
      <c r="B66" s="63" t="inlineStr">
        <is>
          <t>10.67.64.82</t>
        </is>
      </c>
      <c r="C66" s="64" t="inlineStr">
        <is>
          <t>00:58:3F:0F:3F:87</t>
        </is>
      </c>
      <c r="D66" s="61" t="inlineStr">
        <is>
          <t>Aquarius AQB365MC</t>
        </is>
      </c>
      <c r="E66" s="61" t="inlineStr">
        <is>
          <t>Intel(R) i5-9400 2.90GHz</t>
        </is>
      </c>
      <c r="F66" s="61" t="inlineStr">
        <is>
          <t>8GB</t>
        </is>
      </c>
      <c r="G66" s="61" t="inlineStr">
        <is>
          <t>FOXLINE_FLSSD256X5</t>
        </is>
      </c>
      <c r="H66" s="61" t="inlineStr">
        <is>
          <t>SSD 256Gb</t>
        </is>
      </c>
      <c r="I66" s="61" t="inlineStr">
        <is>
          <t>ALT Workstation 9.0</t>
        </is>
      </c>
      <c r="J66" s="61" t="inlineStr">
        <is>
          <t>1051a2</t>
        </is>
      </c>
      <c r="K66" s="61" t="inlineStr">
        <is>
          <t>unknown</t>
        </is>
      </c>
      <c r="L66" s="61" t="inlineStr">
        <is>
          <t>433</t>
        </is>
      </c>
      <c r="M66" s="61" t="inlineStr">
        <is>
          <t>pol1</t>
        </is>
      </c>
    </row>
    <row r="67">
      <c r="A67" s="37" t="n">
        <v>46218</v>
      </c>
      <c r="B67" s="63" t="inlineStr">
        <is>
          <t>10.67.64.52</t>
        </is>
      </c>
      <c r="C67" s="64" t="inlineStr">
        <is>
          <t>00:58:3F:17:59:52</t>
        </is>
      </c>
      <c r="D67" s="61" t="inlineStr">
        <is>
          <t>Aquarius AQH310CM</t>
        </is>
      </c>
      <c r="E67" s="61" t="inlineStr">
        <is>
          <t>Intel(R) i5-9400 2.90GHz</t>
        </is>
      </c>
      <c r="F67" s="61" t="inlineStr">
        <is>
          <t>8GB</t>
        </is>
      </c>
      <c r="G67" s="61" t="inlineStr">
        <is>
          <t xml:space="preserve">FOXLINE_FLSSD256X5 </t>
        </is>
      </c>
      <c r="H67" s="61" t="inlineStr">
        <is>
          <t>SSD 256Gb</t>
        </is>
      </c>
      <c r="I67" s="61" t="inlineStr">
        <is>
          <t>ALT Workstation 9.0</t>
        </is>
      </c>
      <c r="J67" s="61" t="inlineStr">
        <is>
          <t>1051a2</t>
        </is>
      </c>
      <c r="K67" s="61" t="inlineStr">
        <is>
          <t>unknown</t>
        </is>
      </c>
      <c r="L67" s="61" t="inlineStr">
        <is>
          <t>824</t>
        </is>
      </c>
      <c r="M67" s="61" t="inlineStr">
        <is>
          <t>pol1</t>
        </is>
      </c>
    </row>
    <row r="68">
      <c r="A68" s="36" t="n">
        <v>46218</v>
      </c>
      <c r="B68" s="63" t="inlineStr">
        <is>
          <t>10.67.64.9</t>
        </is>
      </c>
      <c r="C68" s="64" t="inlineStr">
        <is>
          <t>00:58:3F:17:6A:52</t>
        </is>
      </c>
      <c r="D68" s="61" t="inlineStr">
        <is>
          <t>Aquarius AQH310CM</t>
        </is>
      </c>
      <c r="E68" s="61" t="inlineStr">
        <is>
          <t>Intel(R) i5-9400 2.90GHz</t>
        </is>
      </c>
      <c r="F68" s="61" t="inlineStr">
        <is>
          <t>8GB</t>
        </is>
      </c>
      <c r="G68" s="61" t="inlineStr">
        <is>
          <t>FOXLINE_FLSSD256X5</t>
        </is>
      </c>
      <c r="H68" s="61" t="inlineStr">
        <is>
          <t>SSD 256Gb</t>
        </is>
      </c>
      <c r="I68" s="61" t="inlineStr">
        <is>
          <t>ALT Workstation 9.0</t>
        </is>
      </c>
      <c r="J68" s="61" t="inlineStr">
        <is>
          <t>1051a2</t>
        </is>
      </c>
      <c r="K68" s="61" t="inlineStr">
        <is>
          <t>unknown</t>
        </is>
      </c>
      <c r="L68" s="61" t="inlineStr">
        <is>
          <t>511</t>
        </is>
      </c>
      <c r="M68" s="61" t="inlineStr">
        <is>
          <t>pol1</t>
        </is>
      </c>
    </row>
    <row r="69">
      <c r="A69" s="35" t="n">
        <v>46218</v>
      </c>
      <c r="B69" s="63" t="inlineStr">
        <is>
          <t>10.67.64.26</t>
        </is>
      </c>
      <c r="C69" s="64" t="inlineStr">
        <is>
          <t>00:58:3F:17:76:0C</t>
        </is>
      </c>
      <c r="D69" s="61" t="inlineStr">
        <is>
          <t>Aquarius AQH310CM</t>
        </is>
      </c>
      <c r="E69" s="61" t="inlineStr">
        <is>
          <t>Intel(R) i5-9400 2.90GHz</t>
        </is>
      </c>
      <c r="F69" s="61" t="inlineStr">
        <is>
          <t>8GB</t>
        </is>
      </c>
      <c r="G69" s="61" t="inlineStr">
        <is>
          <t>FOXLINE_FLSSD256X5</t>
        </is>
      </c>
      <c r="H69" s="61" t="inlineStr">
        <is>
          <t>SSD 256Gb</t>
        </is>
      </c>
      <c r="I69" s="61" t="inlineStr">
        <is>
          <t>ALT Workstation 9.0</t>
        </is>
      </c>
      <c r="J69" s="61" t="inlineStr">
        <is>
          <t>1051a2</t>
        </is>
      </c>
      <c r="K69" s="61" t="inlineStr">
        <is>
          <t>unknown</t>
        </is>
      </c>
      <c r="L69" s="61" t="inlineStr">
        <is>
          <t>817</t>
        </is>
      </c>
      <c r="M69" s="61" t="inlineStr">
        <is>
          <t>pol1</t>
        </is>
      </c>
    </row>
    <row r="70">
      <c r="A70" s="34" t="n">
        <v>46217</v>
      </c>
      <c r="B70" s="63" t="inlineStr">
        <is>
          <t>10.67.22.66</t>
        </is>
      </c>
      <c r="C70" s="64" t="inlineStr">
        <is>
          <t>2C-F0-5D-9E-B2-56</t>
        </is>
      </c>
      <c r="D70" s="61" t="inlineStr">
        <is>
          <t xml:space="preserve">MSI A320M-A PRO </t>
        </is>
      </c>
      <c r="E70" s="61" t="inlineStr">
        <is>
          <t>AMD Ryzen 5 3400G</t>
        </is>
      </c>
      <c r="F70" s="61" t="inlineStr">
        <is>
          <t>6GiB</t>
        </is>
      </c>
      <c r="G70" s="61" t="inlineStr">
        <is>
          <t>Smartbuy SSD 256GB</t>
        </is>
      </c>
      <c r="H70" s="61" t="inlineStr">
        <is>
          <t>256Gb</t>
        </is>
      </c>
      <c r="I70" s="61" t="inlineStr">
        <is>
          <t>Windows 10 Pro</t>
        </is>
      </c>
      <c r="J70" s="61" t="inlineStr">
        <is>
          <t>WS-022-066</t>
        </is>
      </c>
      <c r="K70" s="61" t="inlineStr">
        <is>
          <t>HP LaserJet Pro M428f-M429f</t>
        </is>
      </c>
      <c r="L70" s="61" t="inlineStr">
        <is>
          <t>registr</t>
        </is>
      </c>
      <c r="M70" s="61" t="inlineStr">
        <is>
          <t>detstvo</t>
        </is>
      </c>
    </row>
    <row r="71">
      <c r="A71" s="33" t="n">
        <v>46211</v>
      </c>
      <c r="B71" s="63" t="inlineStr">
        <is>
          <t>10.67.64.88</t>
        </is>
      </c>
      <c r="C71" s="64" t="inlineStr">
        <is>
          <t>00:58:3F:17:72:F0</t>
        </is>
      </c>
      <c r="D71" s="61" t="inlineStr">
        <is>
          <t>Aquarius AQH310CM</t>
        </is>
      </c>
      <c r="E71" s="61" t="inlineStr">
        <is>
          <t>Intel(R) i5-9400 2.90GHz</t>
        </is>
      </c>
      <c r="F71" s="61" t="inlineStr">
        <is>
          <t>8GB</t>
        </is>
      </c>
      <c r="G71" s="61" t="inlineStr">
        <is>
          <t>FOXLINE_FLSSD256X5</t>
        </is>
      </c>
      <c r="H71" s="61" t="inlineStr">
        <is>
          <t>SSD 238Gb</t>
        </is>
      </c>
      <c r="I71" s="61" t="inlineStr">
        <is>
          <t>ALT Workstation 9.0</t>
        </is>
      </c>
      <c r="J71" s="61" t="inlineStr">
        <is>
          <t>1051a2</t>
        </is>
      </c>
      <c r="K71" s="61" t="inlineStr">
        <is>
          <t>unknown</t>
        </is>
      </c>
      <c r="L71" s="61" t="inlineStr">
        <is>
          <t>542</t>
        </is>
      </c>
      <c r="M71" s="61" t="inlineStr">
        <is>
          <t>pol1</t>
        </is>
      </c>
    </row>
    <row r="72">
      <c r="A72" s="32" t="n">
        <v>46202</v>
      </c>
      <c r="B72" s="63" t="inlineStr">
        <is>
          <t>10.67.64.40</t>
        </is>
      </c>
      <c r="C72" s="64" t="inlineStr">
        <is>
          <t>00:58:3F:17:54:E6</t>
        </is>
      </c>
      <c r="D72" s="61" t="inlineStr">
        <is>
          <t>Aquarius AQH310CM</t>
        </is>
      </c>
      <c r="E72" s="61" t="inlineStr">
        <is>
          <t>Intel(R) i5-9400 2.90GHz</t>
        </is>
      </c>
      <c r="F72" s="61" t="inlineStr">
        <is>
          <t>9Gb</t>
        </is>
      </c>
      <c r="G72" s="61" t="inlineStr">
        <is>
          <t xml:space="preserve">FOXLINE_FLSSD256X5 </t>
        </is>
      </c>
      <c r="H72" s="61" t="inlineStr">
        <is>
          <t>SSD 256Gb</t>
        </is>
      </c>
      <c r="I72" s="61" t="inlineStr">
        <is>
          <t>ALT Workstation 9.0</t>
        </is>
      </c>
      <c r="J72" s="61" t="inlineStr">
        <is>
          <t>1051a2</t>
        </is>
      </c>
      <c r="K72" s="61" t="inlineStr">
        <is>
          <t>unknown</t>
        </is>
      </c>
      <c r="L72" s="61" t="inlineStr">
        <is>
          <t>530</t>
        </is>
      </c>
      <c r="M72" s="61" t="inlineStr">
        <is>
          <t>pol1</t>
        </is>
      </c>
    </row>
    <row r="73">
      <c r="A73" s="31" t="n">
        <v>46199</v>
      </c>
      <c r="B73" s="63" t="inlineStr">
        <is>
          <t>10.67.64.8</t>
        </is>
      </c>
      <c r="C73" s="64" t="inlineStr">
        <is>
          <t>00:58:3F:17:57:D6</t>
        </is>
      </c>
      <c r="D73" s="61" t="inlineStr">
        <is>
          <t>Aquarius AQH310CM</t>
        </is>
      </c>
      <c r="E73" s="61" t="inlineStr">
        <is>
          <t>Intel(R) i5-9400 2.90GHz</t>
        </is>
      </c>
      <c r="F73" s="61" t="inlineStr">
        <is>
          <t>8Gb</t>
        </is>
      </c>
      <c r="G73" s="61" t="inlineStr">
        <is>
          <t>FOXLINE_FLSSD256X5</t>
        </is>
      </c>
      <c r="H73" s="61" t="inlineStr">
        <is>
          <t>SSD 256Gb</t>
        </is>
      </c>
      <c r="I73" s="61" t="inlineStr">
        <is>
          <t>ALT Workstation 9.0</t>
        </is>
      </c>
      <c r="J73" s="61" t="inlineStr">
        <is>
          <t>1051a2</t>
        </is>
      </c>
      <c r="K73" s="61" t="inlineStr">
        <is>
          <t>unknown</t>
        </is>
      </c>
      <c r="L73" s="61" t="inlineStr">
        <is>
          <t>~</t>
        </is>
      </c>
      <c r="M73" s="61" t="inlineStr">
        <is>
          <t>pol1</t>
        </is>
      </c>
    </row>
    <row r="74">
      <c r="A74" s="30" t="n">
        <v>46198</v>
      </c>
      <c r="B74" s="63" t="inlineStr">
        <is>
          <t>10.67.22.105</t>
        </is>
      </c>
      <c r="C74" s="64" t="inlineStr">
        <is>
          <t>00:58:3F:12:36:6D</t>
        </is>
      </c>
      <c r="D74" s="61" t="inlineStr">
        <is>
          <t>Aquarius AQB365MC</t>
        </is>
      </c>
      <c r="E74" s="61" t="inlineStr">
        <is>
          <t>Intel(R) i5-9400 2.90GHz</t>
        </is>
      </c>
      <c r="F74" s="61" t="inlineStr">
        <is>
          <t>9Gb</t>
        </is>
      </c>
      <c r="G74" s="61" t="inlineStr">
        <is>
          <t>FOXLINE_FLSSD256X5</t>
        </is>
      </c>
      <c r="H74" s="61" t="inlineStr">
        <is>
          <t>SSD 256Gb</t>
        </is>
      </c>
      <c r="I74" s="61" t="inlineStr">
        <is>
          <t>ALT Workstation 9.0</t>
        </is>
      </c>
      <c r="J74" s="61" t="inlineStr">
        <is>
          <t>1051a2</t>
        </is>
      </c>
      <c r="K74" s="61" t="inlineStr">
        <is>
          <t>unknown</t>
        </is>
      </c>
      <c r="L74" s="61" t="inlineStr">
        <is>
          <t>247</t>
        </is>
      </c>
      <c r="M74" s="61" t="inlineStr">
        <is>
          <t>pol1</t>
        </is>
      </c>
    </row>
    <row r="75">
      <c r="A75" s="29" t="n">
        <v>46196</v>
      </c>
      <c r="B75" s="63" t="inlineStr">
        <is>
          <t>192.168.36.31</t>
        </is>
      </c>
      <c r="C75" s="64" t="inlineStr">
        <is>
          <t>00:58:3F:12:1D:48</t>
        </is>
      </c>
      <c r="D75" s="61" t="inlineStr">
        <is>
          <t>Aquarius AQB365MC</t>
        </is>
      </c>
      <c r="E75" s="61" t="inlineStr">
        <is>
          <t>Intel(R) i5-9400 2.90GHz</t>
        </is>
      </c>
      <c r="F75" s="61" t="inlineStr">
        <is>
          <t>9Gb</t>
        </is>
      </c>
      <c r="G75" s="61" t="inlineStr">
        <is>
          <t>FOXLINE_FLSSD256X5</t>
        </is>
      </c>
      <c r="H75" s="61" t="inlineStr">
        <is>
          <t>SSD 256Gb</t>
        </is>
      </c>
      <c r="I75" s="61" t="inlineStr">
        <is>
          <t>ALT Workstation 9.0</t>
        </is>
      </c>
      <c r="J75" s="61" t="inlineStr">
        <is>
          <t>1051a2</t>
        </is>
      </c>
      <c r="K75" s="61" t="inlineStr">
        <is>
          <t>unknown</t>
        </is>
      </c>
      <c r="L75" s="61" t="inlineStr">
        <is>
          <t>5</t>
        </is>
      </c>
      <c r="M75" s="61" t="inlineStr">
        <is>
          <t>stomat</t>
        </is>
      </c>
    </row>
    <row r="76">
      <c r="A76" s="28" t="n">
        <v>46196</v>
      </c>
      <c r="B76" s="63" t="inlineStr">
        <is>
          <t>192.168.36.25</t>
        </is>
      </c>
      <c r="C76" s="64" t="inlineStr">
        <is>
          <t>18-C0-4D-CD-F6-5E</t>
        </is>
      </c>
      <c r="D76" s="61" t="inlineStr">
        <is>
          <t>Gigabyte H410M H V3</t>
        </is>
      </c>
      <c r="E76" s="61" t="inlineStr">
        <is>
          <t>Intel(R) i3-10105 3.70GHz</t>
        </is>
      </c>
      <c r="F76" s="61" t="inlineStr">
        <is>
          <t>16Gb</t>
        </is>
      </c>
      <c r="G76" s="61" t="inlineStr">
        <is>
          <t>Samsung SSD 870 EVO 500GB</t>
        </is>
      </c>
      <c r="H76" s="61" t="inlineStr">
        <is>
          <t>465Gb</t>
        </is>
      </c>
      <c r="I76" s="61" t="inlineStr">
        <is>
          <t>Windows 10 Pro</t>
        </is>
      </c>
      <c r="J76" s="61" t="inlineStr">
        <is>
          <t>WS-036-025</t>
        </is>
      </c>
      <c r="K76" s="61" t="inlineStr">
        <is>
          <t>unknown</t>
        </is>
      </c>
      <c r="L76" s="61" t="inlineStr">
        <is>
          <t>5</t>
        </is>
      </c>
      <c r="M76" s="61" t="inlineStr">
        <is>
          <t>stomat</t>
        </is>
      </c>
    </row>
    <row r="77">
      <c r="A77" s="27" t="n">
        <v>46192</v>
      </c>
      <c r="B77" s="63" t="inlineStr">
        <is>
          <t>10.67.38.58</t>
        </is>
      </c>
      <c r="C77" s="64" t="inlineStr">
        <is>
          <t>10-FF-E0-63-ED-A8</t>
        </is>
      </c>
      <c r="D77" s="61" t="inlineStr">
        <is>
          <t>Gigabyte H410M K</t>
        </is>
      </c>
      <c r="E77" s="61" t="inlineStr">
        <is>
          <t>Intel(R) i3-10100 3.60GHz</t>
        </is>
      </c>
      <c r="F77" s="61" t="inlineStr">
        <is>
          <t>16Gb</t>
        </is>
      </c>
      <c r="G77" s="61" t="inlineStr">
        <is>
          <t>WD Blue SN5000 500GB</t>
        </is>
      </c>
      <c r="H77" s="61" t="inlineStr">
        <is>
          <t>HDD 465Gb</t>
        </is>
      </c>
      <c r="I77" s="61" t="inlineStr">
        <is>
          <t>Windows 10 Pro</t>
        </is>
      </c>
      <c r="J77" s="61" t="inlineStr">
        <is>
          <t>WS-038-058</t>
        </is>
      </c>
      <c r="K77" s="61" t="inlineStr">
        <is>
          <t>unknown</t>
        </is>
      </c>
      <c r="L77" s="61" t="inlineStr">
        <is>
          <t>409</t>
        </is>
      </c>
      <c r="M77" s="61" t="inlineStr">
        <is>
          <t>pol1</t>
        </is>
      </c>
    </row>
    <row r="78">
      <c r="A78" s="26" t="n">
        <v>46191</v>
      </c>
      <c r="B78" s="63" t="inlineStr">
        <is>
          <t>10.67.64.98</t>
        </is>
      </c>
      <c r="C78" s="64" t="inlineStr">
        <is>
          <t>00:58:3F:17:6A:B2</t>
        </is>
      </c>
      <c r="D78" s="61" t="inlineStr">
        <is>
          <t>Aquarius AQH310CM</t>
        </is>
      </c>
      <c r="E78" s="61" t="inlineStr">
        <is>
          <t>Intel(R) i5-9400 2.90GHz</t>
        </is>
      </c>
      <c r="F78" s="61" t="inlineStr">
        <is>
          <t>8Gb</t>
        </is>
      </c>
      <c r="G78" s="61" t="inlineStr">
        <is>
          <t xml:space="preserve">FOXLINE_FLSSD256X5 </t>
        </is>
      </c>
      <c r="H78" s="61" t="inlineStr">
        <is>
          <t>SSD 238Gb</t>
        </is>
      </c>
      <c r="I78" s="61" t="inlineStr">
        <is>
          <t>ALT Workstation 9.0</t>
        </is>
      </c>
      <c r="J78" s="61" t="inlineStr">
        <is>
          <t>1051a2</t>
        </is>
      </c>
      <c r="K78" s="61" t="inlineStr">
        <is>
          <t>unknown</t>
        </is>
      </c>
      <c r="L78" s="61" t="inlineStr">
        <is>
          <t>registratura</t>
        </is>
      </c>
      <c r="M78" s="61" t="inlineStr">
        <is>
          <t>pol1</t>
        </is>
      </c>
    </row>
    <row r="79">
      <c r="A79" s="25" t="n">
        <v>46183</v>
      </c>
      <c r="B79" s="63" t="inlineStr">
        <is>
          <t>10.67.64.92</t>
        </is>
      </c>
      <c r="C79" s="64" t="inlineStr">
        <is>
          <t>00:58:3F:17:63:82</t>
        </is>
      </c>
      <c r="D79" s="61" t="inlineStr">
        <is>
          <t>Aquarius AQH310CM</t>
        </is>
      </c>
      <c r="E79" s="61" t="inlineStr">
        <is>
          <t>Intel(R) i5-9400 2.90GHz</t>
        </is>
      </c>
      <c r="F79" s="61" t="inlineStr">
        <is>
          <t>8Gb</t>
        </is>
      </c>
      <c r="G79" s="61" t="inlineStr">
        <is>
          <t>FOXLINE_FLSSD256X5 OnlyDisk</t>
        </is>
      </c>
      <c r="H79" s="61" t="inlineStr">
        <is>
          <t>SSD 238Gb</t>
        </is>
      </c>
      <c r="I79" s="61" t="inlineStr">
        <is>
          <t>ALT Workstation 9.0</t>
        </is>
      </c>
      <c r="J79" s="61" t="inlineStr">
        <is>
          <t>1051a2</t>
        </is>
      </c>
      <c r="K79" s="61" t="inlineStr">
        <is>
          <t>unknown</t>
        </is>
      </c>
      <c r="L79" s="61" t="inlineStr">
        <is>
          <t>330</t>
        </is>
      </c>
      <c r="M79" s="61" t="inlineStr">
        <is>
          <t>pol1</t>
        </is>
      </c>
    </row>
    <row r="80">
      <c r="A80" s="24" t="n">
        <v>46183</v>
      </c>
      <c r="B80" s="63" t="inlineStr">
        <is>
          <t>10.67.64.38</t>
        </is>
      </c>
      <c r="C80" s="64" t="inlineStr">
        <is>
          <t>00:58:3F:17:54:A4</t>
        </is>
      </c>
      <c r="D80" s="61" t="inlineStr">
        <is>
          <t>Aquarius AQH310CM</t>
        </is>
      </c>
      <c r="E80" s="61" t="inlineStr">
        <is>
          <t>Intel(R) i5-9400 2.90GHz</t>
        </is>
      </c>
      <c r="F80" s="61" t="inlineStr">
        <is>
          <t>8Gb</t>
        </is>
      </c>
      <c r="G80" s="61" t="inlineStr">
        <is>
          <t xml:space="preserve">FOXLINE_FLSSD256X5 </t>
        </is>
      </c>
      <c r="H80" s="61" t="inlineStr">
        <is>
          <t>SSD 256Gb</t>
        </is>
      </c>
      <c r="I80" s="61" t="inlineStr">
        <is>
          <t>ALT Workstation 9.0</t>
        </is>
      </c>
      <c r="J80" s="61" t="inlineStr">
        <is>
          <t>1051a2</t>
        </is>
      </c>
      <c r="K80" s="61" t="inlineStr">
        <is>
          <t>unknown</t>
        </is>
      </c>
      <c r="L80" s="61" t="inlineStr">
        <is>
          <t>818</t>
        </is>
      </c>
      <c r="M80" s="61" t="inlineStr">
        <is>
          <t>pol1</t>
        </is>
      </c>
    </row>
    <row r="81">
      <c r="A81" s="23" t="n">
        <v>46183</v>
      </c>
      <c r="B81" s="63" t="inlineStr">
        <is>
          <t>10.67.64.96</t>
        </is>
      </c>
      <c r="C81" s="64" t="inlineStr">
        <is>
          <t>00:58:3F:0F:42:79</t>
        </is>
      </c>
      <c r="D81" s="61" t="inlineStr">
        <is>
          <t>Aquarius AQB365MC</t>
        </is>
      </c>
      <c r="E81" s="61" t="inlineStr">
        <is>
          <t>Intel(R) i5-9400 2.90GHz</t>
        </is>
      </c>
      <c r="F81" s="61" t="inlineStr">
        <is>
          <t>8Gb</t>
        </is>
      </c>
      <c r="G81" s="61" t="inlineStr">
        <is>
          <t>FOXLINE_FLSSD256X5</t>
        </is>
      </c>
      <c r="H81" s="61" t="inlineStr">
        <is>
          <t>SSD 256Gb</t>
        </is>
      </c>
      <c r="I81" s="61" t="inlineStr">
        <is>
          <t>ALT Workstation 9.0</t>
        </is>
      </c>
      <c r="J81" s="61" t="inlineStr">
        <is>
          <t>1051a2</t>
        </is>
      </c>
      <c r="K81" s="61" t="inlineStr">
        <is>
          <t>unknown</t>
        </is>
      </c>
      <c r="L81" s="61" t="inlineStr">
        <is>
          <t>417</t>
        </is>
      </c>
      <c r="M81" s="61" t="inlineStr">
        <is>
          <t>pol1</t>
        </is>
      </c>
    </row>
    <row r="82">
      <c r="A82" s="22" t="n">
        <v>46181</v>
      </c>
      <c r="B82" s="63" t="inlineStr">
        <is>
          <t>10.67.64.3</t>
        </is>
      </c>
      <c r="C82" s="64" t="inlineStr">
        <is>
          <t>00:58:3F:17:62:CA</t>
        </is>
      </c>
      <c r="D82" s="61" t="inlineStr">
        <is>
          <t>Aquarius AQH310CM</t>
        </is>
      </c>
      <c r="E82" s="61" t="inlineStr">
        <is>
          <t>Intel(R) i5-9400 2.90GHz</t>
        </is>
      </c>
      <c r="F82" s="61" t="inlineStr">
        <is>
          <t>8Gb</t>
        </is>
      </c>
      <c r="G82" s="61" t="inlineStr">
        <is>
          <t xml:space="preserve">FOXLINE_FLSSD256X5 </t>
        </is>
      </c>
      <c r="H82" s="61" t="inlineStr">
        <is>
          <t>238Gb</t>
        </is>
      </c>
      <c r="I82" s="61" t="inlineStr">
        <is>
          <t>ALT Workstation 9.0</t>
        </is>
      </c>
      <c r="J82" s="61" t="inlineStr">
        <is>
          <t>1051a2</t>
        </is>
      </c>
      <c r="K82" s="61" t="inlineStr">
        <is>
          <t>unknown</t>
        </is>
      </c>
      <c r="L82" s="61" t="inlineStr">
        <is>
          <t>312</t>
        </is>
      </c>
      <c r="M82" s="61" t="inlineStr">
        <is>
          <t>uprav</t>
        </is>
      </c>
    </row>
    <row r="83">
      <c r="A83" s="21" t="n">
        <v>46181</v>
      </c>
      <c r="B83" s="63" t="inlineStr">
        <is>
          <t>192.168.0.129</t>
        </is>
      </c>
      <c r="C83" s="64" t="inlineStr">
        <is>
          <t>38-D5-47-E1-3E-C6</t>
        </is>
      </c>
      <c r="D83" s="61" t="inlineStr">
        <is>
          <t>ASUSTeK Z170-K</t>
        </is>
      </c>
      <c r="E83" s="61" t="inlineStr">
        <is>
          <t>Intel(R) i7-6700K 4.00GHz</t>
        </is>
      </c>
      <c r="F83" s="61" t="inlineStr">
        <is>
          <t>32Gb</t>
        </is>
      </c>
      <c r="G83" s="61" t="inlineStr">
        <is>
          <t>TOSHIBA DT01ACA100</t>
        </is>
      </c>
      <c r="H83" s="61" t="inlineStr">
        <is>
          <t>931Gb</t>
        </is>
      </c>
      <c r="I83" s="61" t="inlineStr">
        <is>
          <t>Windows 10 IoT Enterprise</t>
        </is>
      </c>
      <c r="J83" s="61" t="inlineStr">
        <is>
          <t>KOMPUTER</t>
        </is>
      </c>
      <c r="K83" s="61" t="inlineStr">
        <is>
          <t>unknown</t>
        </is>
      </c>
      <c r="L83" s="61" t="inlineStr">
        <is>
          <t>my</t>
        </is>
      </c>
      <c r="M83" s="61" t="inlineStr">
        <is>
          <t>home</t>
        </is>
      </c>
    </row>
    <row r="84">
      <c r="A84" s="20" t="n">
        <v>46178</v>
      </c>
      <c r="B84" s="63" t="inlineStr">
        <is>
          <t>10.67.2.8</t>
        </is>
      </c>
      <c r="C84" s="64" t="inlineStr">
        <is>
          <t>58-11-22-07-4E-DF</t>
        </is>
      </c>
      <c r="D84" s="61" t="inlineStr">
        <is>
          <t>ASUSTeK PRIME H510M-K</t>
        </is>
      </c>
      <c r="E84" s="61" t="inlineStr">
        <is>
          <t>Intel(R) i5-10400 2.90GHz</t>
        </is>
      </c>
      <c r="F84" s="61" t="inlineStr">
        <is>
          <t>8Gb</t>
        </is>
      </c>
      <c r="G84" s="61" t="inlineStr">
        <is>
          <t>ST500NM0011</t>
        </is>
      </c>
      <c r="H84" s="61" t="inlineStr">
        <is>
          <t>SSD 465 Gb</t>
        </is>
      </c>
      <c r="I84" s="61" t="inlineStr">
        <is>
          <t>Windows 10 Pro</t>
        </is>
      </c>
      <c r="J84" s="61" t="inlineStr">
        <is>
          <t>WS-002-008</t>
        </is>
      </c>
      <c r="K84" s="61" t="inlineStr">
        <is>
          <t>unknown</t>
        </is>
      </c>
      <c r="L84" s="61" t="inlineStr">
        <is>
          <t>312 IGOR</t>
        </is>
      </c>
      <c r="M84" s="61" t="inlineStr">
        <is>
          <t>uprav</t>
        </is>
      </c>
    </row>
    <row r="85">
      <c r="A85" s="19" t="n">
        <v>46177</v>
      </c>
      <c r="B85" s="63" t="inlineStr">
        <is>
          <t>10.67.2.33</t>
        </is>
      </c>
      <c r="C85" s="64" t="inlineStr">
        <is>
          <t>18-C0-4D-D7-67-0E</t>
        </is>
      </c>
      <c r="D85" s="61" t="inlineStr">
        <is>
          <t>Gigabyte H510M H</t>
        </is>
      </c>
      <c r="E85" s="61" t="inlineStr">
        <is>
          <t>Intel(R) i3-10100 3.60GHz</t>
        </is>
      </c>
      <c r="F85" s="61" t="inlineStr">
        <is>
          <t>8Gb</t>
        </is>
      </c>
      <c r="G85" s="61" t="inlineStr">
        <is>
          <t>KINGSTON SA400S37480G</t>
        </is>
      </c>
      <c r="H85" s="61" t="inlineStr">
        <is>
          <t>SSD 447 Gb</t>
        </is>
      </c>
      <c r="I85" s="61" t="inlineStr">
        <is>
          <t xml:space="preserve">Windows 10 IoT Enterprise LTSC </t>
        </is>
      </c>
      <c r="J85" s="61" t="inlineStr">
        <is>
          <t>KOMPUTER</t>
        </is>
      </c>
      <c r="K85" s="61" t="inlineStr">
        <is>
          <t>unknown</t>
        </is>
      </c>
      <c r="L85" s="61" t="inlineStr">
        <is>
          <t>312</t>
        </is>
      </c>
      <c r="M85" s="61" t="inlineStr">
        <is>
          <t>uprav</t>
        </is>
      </c>
    </row>
    <row r="86">
      <c r="A86" s="18" t="n">
        <v>46178</v>
      </c>
      <c r="B86" s="63" t="inlineStr">
        <is>
          <t>192.168.36.34</t>
        </is>
      </c>
      <c r="C86" s="64" t="inlineStr">
        <is>
          <t>00:58:3F:12:37:A7</t>
        </is>
      </c>
      <c r="D86" s="61" t="inlineStr">
        <is>
          <t>Aquarius AQB365MC</t>
        </is>
      </c>
      <c r="E86" s="61" t="inlineStr">
        <is>
          <t xml:space="preserve">Intel(R) i5-9400 2.90GHz </t>
        </is>
      </c>
      <c r="F86" s="61" t="inlineStr">
        <is>
          <t>8Gb</t>
        </is>
      </c>
      <c r="G86" s="61" t="inlineStr">
        <is>
          <t>FOXLINE_FLSSD256X5</t>
        </is>
      </c>
      <c r="H86" s="61" t="inlineStr">
        <is>
          <t>SSD 256</t>
        </is>
      </c>
      <c r="I86" s="61" t="inlineStr">
        <is>
          <t>ALT Workstation 9.0</t>
        </is>
      </c>
      <c r="J86" s="61" t="inlineStr">
        <is>
          <t>1051a2</t>
        </is>
      </c>
      <c r="K86" s="61" t="inlineStr">
        <is>
          <t>unknown</t>
        </is>
      </c>
      <c r="L86" s="61" t="inlineStr">
        <is>
          <t>4</t>
        </is>
      </c>
      <c r="M86" s="61" t="inlineStr">
        <is>
          <t>stomatology</t>
        </is>
      </c>
    </row>
    <row r="87">
      <c r="A87" s="17" t="n">
        <v>46178</v>
      </c>
      <c r="B87" s="63" t="inlineStr">
        <is>
          <t>10.67.11.32</t>
        </is>
      </c>
      <c r="C87" s="64" t="inlineStr">
        <is>
          <t>00:58:3F:0D:24:AD</t>
        </is>
      </c>
      <c r="D87" s="61" t="inlineStr">
        <is>
          <t>ASUSTeK PRIME B365M-C</t>
        </is>
      </c>
      <c r="E87" s="61" t="inlineStr">
        <is>
          <t xml:space="preserve">Intel(R) i5-9400 2.90GHz </t>
        </is>
      </c>
      <c r="F87" s="61" t="inlineStr">
        <is>
          <t>8Gb</t>
        </is>
      </c>
      <c r="G87" s="61" t="inlineStr">
        <is>
          <t>FOXLINE FLSSD256X5</t>
        </is>
      </c>
      <c r="H87" s="61" t="inlineStr">
        <is>
          <t>SSD 256Gb</t>
        </is>
      </c>
      <c r="I87" s="61" t="inlineStr">
        <is>
          <t>ALT Workstation 10.4</t>
        </is>
      </c>
      <c r="J87" s="61" t="inlineStr">
        <is>
          <t>dpk5324</t>
        </is>
      </c>
      <c r="K87" s="61" t="inlineStr">
        <is>
          <t>unknown</t>
        </is>
      </c>
      <c r="L87" s="61" t="inlineStr">
        <is>
          <t>312</t>
        </is>
      </c>
      <c r="M87" s="61" t="inlineStr">
        <is>
          <t>uprav</t>
        </is>
      </c>
    </row>
    <row r="88">
      <c r="A88" s="16" t="n">
        <v>46177</v>
      </c>
      <c r="B88" s="63" t="inlineStr">
        <is>
          <t>192.168.0.172</t>
        </is>
      </c>
      <c r="C88" s="64" t="inlineStr">
        <is>
          <t>2C:56:DC:DB:90:05</t>
        </is>
      </c>
      <c r="D88" s="61" t="inlineStr">
        <is>
          <t>ASUSTeK A68HM-K</t>
        </is>
      </c>
      <c r="E88" s="61" t="inlineStr">
        <is>
          <t xml:space="preserve">AMD Athlon(tm) X2 340 </t>
        </is>
      </c>
      <c r="F88" s="61" t="inlineStr">
        <is>
          <t>6Gb</t>
        </is>
      </c>
      <c r="G88" s="61" t="inlineStr">
        <is>
          <t>TOSHIBA DT01ACA100</t>
        </is>
      </c>
      <c r="H88" s="61" t="inlineStr">
        <is>
          <t>HDD 1000Gb</t>
        </is>
      </c>
      <c r="I88" s="61" t="inlineStr">
        <is>
          <t>CentOS Stream 9</t>
        </is>
      </c>
      <c r="J88" s="61" t="inlineStr">
        <is>
          <t>localhost</t>
        </is>
      </c>
      <c r="K88" s="61" t="inlineStr">
        <is>
          <t>unknown</t>
        </is>
      </c>
      <c r="L88" s="61" t="inlineStr">
        <is>
          <t>sleep</t>
        </is>
      </c>
      <c r="M88" s="61" t="inlineStr">
        <is>
          <t>home</t>
        </is>
      </c>
    </row>
    <row r="89">
      <c r="A89" s="15" t="n">
        <v>46164</v>
      </c>
      <c r="B89" s="63" t="inlineStr">
        <is>
          <t>10.67.40.20</t>
        </is>
      </c>
      <c r="C89" s="64" t="inlineStr">
        <is>
          <t>00:58:3f:12:36:42</t>
        </is>
      </c>
      <c r="D89" s="61" t="inlineStr">
        <is>
          <t>Aquarius AQB365MC</t>
        </is>
      </c>
      <c r="E89" s="61" t="inlineStr">
        <is>
          <t>Intel(R) i5-9400 2.90GHz</t>
        </is>
      </c>
      <c r="F89" s="61" t="inlineStr">
        <is>
          <t>8Gb</t>
        </is>
      </c>
      <c r="G89" s="61" t="inlineStr">
        <is>
          <t>FOXLINE_FLSSD256X5</t>
        </is>
      </c>
      <c r="H89" s="61" t="inlineStr">
        <is>
          <t>SSD 256Gb</t>
        </is>
      </c>
      <c r="I89" s="61" t="inlineStr">
        <is>
          <t>ALT Workstation 9.0</t>
        </is>
      </c>
      <c r="J89" s="61" t="inlineStr">
        <is>
          <t>unknown</t>
        </is>
      </c>
      <c r="K89" s="61" t="inlineStr">
        <is>
          <t>unknown</t>
        </is>
      </c>
      <c r="L89" s="61" t="inlineStr">
        <is>
          <t>6</t>
        </is>
      </c>
      <c r="M89" s="61" t="inlineStr">
        <is>
          <t>tuber</t>
        </is>
      </c>
    </row>
    <row r="90">
      <c r="A90" s="14" t="n">
        <v>46164</v>
      </c>
      <c r="B90" s="63" t="inlineStr">
        <is>
          <t>10.67.40.17</t>
        </is>
      </c>
      <c r="C90" s="64" t="inlineStr">
        <is>
          <t>00:58:3f:12:36:49</t>
        </is>
      </c>
      <c r="D90" s="61" t="inlineStr">
        <is>
          <t>Aquarius AQB365MC</t>
        </is>
      </c>
      <c r="E90" s="61" t="inlineStr">
        <is>
          <t>Intel(R) i5-9400 2.90GHz</t>
        </is>
      </c>
      <c r="F90" s="61" t="inlineStr">
        <is>
          <t>8Gb</t>
        </is>
      </c>
      <c r="G90" s="61" t="inlineStr">
        <is>
          <t xml:space="preserve">FOXLINE_FLSSD256X5 </t>
        </is>
      </c>
      <c r="H90" s="61" t="inlineStr">
        <is>
          <t>SSD 256Gb</t>
        </is>
      </c>
      <c r="I90" s="61" t="inlineStr">
        <is>
          <t>ALT Workstation 9.0</t>
        </is>
      </c>
      <c r="J90" s="61" t="inlineStr">
        <is>
          <t>unknown</t>
        </is>
      </c>
      <c r="K90" s="61" t="inlineStr">
        <is>
          <t>unknown</t>
        </is>
      </c>
      <c r="L90" s="61" t="inlineStr">
        <is>
          <t>8</t>
        </is>
      </c>
      <c r="M90" s="61" t="inlineStr">
        <is>
          <t>tuber</t>
        </is>
      </c>
    </row>
    <row r="91">
      <c r="A91" s="7" t="n">
        <v>46150</v>
      </c>
      <c r="B91" s="63" t="inlineStr">
        <is>
          <t>10.67.64.62</t>
        </is>
      </c>
      <c r="C91" s="64" t="inlineStr">
        <is>
          <t>00:58:3f:17:59:a3</t>
        </is>
      </c>
      <c r="D91" s="61" t="inlineStr">
        <is>
          <t>Aquarius AQH310CM</t>
        </is>
      </c>
      <c r="E91" s="61" t="inlineStr">
        <is>
          <t>Intel(R) i5-9400 2.90GHz</t>
        </is>
      </c>
      <c r="F91" s="61" t="inlineStr">
        <is>
          <t>8Gb</t>
        </is>
      </c>
      <c r="G91" s="61" t="inlineStr">
        <is>
          <t>FOXLINE_FLSSD256X5</t>
        </is>
      </c>
      <c r="H91" s="61" t="inlineStr">
        <is>
          <t>256 GB/238 GiB</t>
        </is>
      </c>
      <c r="I91" s="61" t="inlineStr">
        <is>
          <t>ALT Workstation 9.0</t>
        </is>
      </c>
      <c r="J91" s="61" t="inlineStr">
        <is>
          <t>unknown</t>
        </is>
      </c>
      <c r="K91" s="61" t="inlineStr">
        <is>
          <t>unknown</t>
        </is>
      </c>
      <c r="L91" s="61" t="inlineStr">
        <is>
          <t>316</t>
        </is>
      </c>
      <c r="M91" s="61" t="inlineStr">
        <is>
          <t>pol1</t>
        </is>
      </c>
    </row>
    <row r="92">
      <c r="A92" s="7" t="n">
        <v>46148</v>
      </c>
      <c r="B92" s="63" t="inlineStr">
        <is>
          <t>192.168.0.139</t>
        </is>
      </c>
      <c r="C92" s="64" t="inlineStr">
        <is>
          <t>unknown</t>
        </is>
      </c>
      <c r="D92" s="61" t="inlineStr">
        <is>
          <t>ASRock J3355M</t>
        </is>
      </c>
      <c r="E92" s="61" t="inlineStr">
        <is>
          <t xml:space="preserve">Intel(R) J3355 2.00GHz </t>
        </is>
      </c>
      <c r="F92" s="61" t="inlineStr">
        <is>
          <t>6Gb</t>
        </is>
      </c>
      <c r="G92" s="61" t="inlineStr">
        <is>
          <t>WDC WD5000BPVT-2</t>
        </is>
      </c>
      <c r="H92" s="61" t="inlineStr">
        <is>
          <t>500 GB/466 GiB</t>
        </is>
      </c>
      <c r="I92" s="61" t="inlineStr">
        <is>
          <t>ALT Workstation 8.2</t>
        </is>
      </c>
      <c r="J92" s="61" t="inlineStr">
        <is>
          <t>home-comp</t>
        </is>
      </c>
      <c r="K92" s="61" t="inlineStr">
        <is>
          <t>unknown</t>
        </is>
      </c>
      <c r="L92" s="61" t="inlineStr">
        <is>
          <t>sleep</t>
        </is>
      </c>
      <c r="M92" s="61" t="inlineStr">
        <is>
          <t>home</t>
        </is>
      </c>
    </row>
  </sheetData>
  <mergeCells count="2">
    <mergeCell ref="A9:B9"/>
    <mergeCell ref="A1:XFD1"/>
  </mergeCells>
  <dataValidations count="18">
    <dataValidation sqref="M10" showDropDown="0" showInputMessage="1" showErrorMessage="1" allowBlank="1" prompt="Накопленные проценты автоматически обновляются в этом столбце">
      <formula1>0</formula1>
      <formula2>0</formula2>
    </dataValidation>
    <dataValidation sqref="L10" showDropDown="0" showInputMessage="1" showErrorMessage="1" allowBlank="1" prompt="Конечный баланс автоматически обновляется в этом столбце">
      <formula1>0</formula1>
      <formula2>0</formula2>
    </dataValidation>
    <dataValidation sqref="I10" showDropDown="0" showInputMessage="1" showErrorMessage="1" allowBlank="1" prompt="Сумма процентов автоматически обновляется в этом столбце">
      <formula1>0</formula1>
      <formula2>0</formula2>
    </dataValidation>
    <dataValidation sqref="H10" showDropDown="0" showInputMessage="1" showErrorMessage="1" allowBlank="1" prompt="Основная сумма автоматически обновляется в этом столбце">
      <formula1>0</formula1>
      <formula2>0</formula2>
    </dataValidation>
    <dataValidation sqref="G10" showDropDown="0" showInputMessage="1" showErrorMessage="1" allowBlank="1" prompt="Общий платеж автоматически обновляется в этом столбце">
      <formula1>0</formula1>
      <formula2>0</formula2>
    </dataValidation>
    <dataValidation sqref="F10" showDropDown="0" showInputMessage="1" showErrorMessage="1" allowBlank="1" prompt="Дополнительный платеж автоматически обновляется в этом столбце">
      <formula1>0</formula1>
      <formula2>0</formula2>
    </dataValidation>
    <dataValidation sqref="E10" showDropDown="0" showInputMessage="1" showErrorMessage="1" allowBlank="1" prompt="Плановый платеж автоматически обновляется в этом столбце">
      <formula1>0</formula1>
      <formula2>0</formula2>
    </dataValidation>
    <dataValidation sqref="D10" showDropDown="0" showInputMessage="1" showErrorMessage="1" allowBlank="1" prompt="Начальный баланс автоматически обновляется в этом столбце">
      <formula1>0</formula1>
      <formula2>0</formula2>
    </dataValidation>
    <dataValidation sqref="C10" showDropDown="0" showInputMessage="1" showErrorMessage="1" allowBlank="1" prompt="Дата платежа автоматически обновляется в этом столбце">
      <formula1>0</formula1>
      <formula2>0</formula2>
    </dataValidation>
    <dataValidation sqref="B10" showDropDown="0" showInputMessage="1" showErrorMessage="1" allowBlank="1" prompt="Номер платежа автоматически обновляется в этом столбце">
      <formula1>0</formula1>
      <formula2>0</formula2>
    </dataValidation>
    <dataValidation sqref="A3" showDropDown="0" showInputMessage="1" showErrorMessage="1" allowBlank="1" prompt="Введите значения кредита в ячейках с E5 по E9 и данные о дополнительном платеже в ячейку E11. Описание каждого значения кредита находится в столбце E. Таблица &quot;График выплат&quot; начинается в ячейке G4 и обновляется автоматически.">
      <formula1>0</formula1>
      <formula2>0</formula2>
    </dataValidation>
    <dataValidation sqref="D3" showDropDown="0" showInputMessage="1" showErrorMessage="1" allowBlank="1" prompt="Поля со сведениями о кредите с I5 до I9 автоматически настраиваются в зависимости от значений, которые введены в ячейках E5–E9. Введите имя кредитора в ячейку I11._x000a__x000a_Описание каждого значения можно найти в столбце I.">
      <formula1>0</formula1>
      <formula2>0</formula2>
    </dataValidation>
    <dataValidation sqref="A2" showDropDown="0" showInputMessage="1" showErrorMessage="1" allowBlank="1" prompt="Эта ячейка содержит название листа._x000a__x000a_Введите сумму кредита в ячейки E5-E9, а дополнительные платежи в E11. Введите сведения о кредите в ячейки I5-K9, а имя кредитора в I11._x000a__x000a_Таблица расписания платежей обновляется автоматически.">
      <formula1>0</formula1>
      <formula2>0</formula2>
    </dataValidation>
    <dataValidation sqref="C7:D7" showDropDown="0" showInputMessage="1" showErrorMessage="1" allowBlank="1" prompt="Введите в этой ячейке количество платежей, которое необходимо сделать за год">
      <formula1>0</formula1>
      <formula2>0</formula2>
    </dataValidation>
    <dataValidation sqref="C6:D6" showDropDown="0" showInputMessage="1" showErrorMessage="1" allowBlank="1" prompt="Введите в этой ячейке период кредитования в годах">
      <formula1>0</formula1>
      <formula2>0</formula2>
    </dataValidation>
    <dataValidation sqref="C5:D5" showDropDown="0" showInputMessage="1" showErrorMessage="1" allowBlank="1" prompt="Введите в этой ячейке процентную ставку для ежегодной оплаты">
      <formula1>0</formula1>
      <formula2>0</formula2>
    </dataValidation>
    <dataValidation sqref="C4:D4" showDropDown="0" showInputMessage="1" showErrorMessage="1" allowBlank="1" prompt="Введите в этой ячейке сумму кредита">
      <formula1>0</formula1>
      <formula2>0</formula2>
    </dataValidation>
    <dataValidation sqref="C9 E9" showDropDown="0" showInputMessage="1" showErrorMessage="1" allowBlank="1" prompt="Введите сумму дополнительных платежей в этой ячейке">
      <formula1>0</formula1>
      <formula2>0</formula2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oio0133</dc:creator>
  <dcterms:created xsi:type="dcterms:W3CDTF">2026-05-04T07:55:28Z</dcterms:created>
  <dcterms:modified xsi:type="dcterms:W3CDTF">2026-09-16T12:41:45Z</dcterms:modified>
  <cp:lastModifiedBy>oio0133</cp:lastModifiedBy>
</cp:coreProperties>
</file>