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ventory-base\base\"/>
    </mc:Choice>
  </mc:AlternateContent>
  <xr:revisionPtr revIDLastSave="0" documentId="13_ncr:1_{EA629D0F-D2D4-4E0D-8E70-F7CA64010556}" xr6:coauthVersionLast="47" xr6:coauthVersionMax="47" xr10:uidLastSave="{00000000-0000-0000-0000-000000000000}"/>
  <bookViews>
    <workbookView xWindow="-120" yWindow="-120" windowWidth="29040" windowHeight="15840" xr2:uid="{18A4AB93-6F8E-4E83-AE60-C12153EE5A6F}"/>
  </bookViews>
  <sheets>
    <sheet name="main" sheetId="2" r:id="rId1"/>
  </sheets>
  <calcPr calcId="191029"/>
</workbook>
</file>

<file path=xl/calcChain.xml><?xml version="1.0" encoding="utf-8"?>
<calcChain xmlns="http://schemas.openxmlformats.org/spreadsheetml/2006/main">
  <c r="C6" i="2" l="1"/>
  <c r="C7" i="2"/>
  <c r="C5" i="2"/>
  <c r="C4" i="2"/>
  <c r="F4" i="2"/>
  <c r="F5" i="2"/>
  <c r="F6" i="2"/>
  <c r="F7" i="2"/>
  <c r="D9" i="2"/>
</calcChain>
</file>

<file path=xl/sharedStrings.xml><?xml version="1.0" encoding="utf-8"?>
<sst xmlns="http://schemas.openxmlformats.org/spreadsheetml/2006/main" count="494" uniqueCount="243">
  <si>
    <t>I5</t>
  </si>
  <si>
    <t>I3</t>
  </si>
  <si>
    <t>ip   address</t>
  </si>
  <si>
    <t>mac address</t>
  </si>
  <si>
    <t>mothrboard</t>
  </si>
  <si>
    <t>processor</t>
  </si>
  <si>
    <t>memory</t>
  </si>
  <si>
    <t>hard disk</t>
  </si>
  <si>
    <t>hard disk size</t>
  </si>
  <si>
    <t>operation system</t>
  </si>
  <si>
    <t>building</t>
  </si>
  <si>
    <t>room</t>
  </si>
  <si>
    <t>host-name</t>
  </si>
  <si>
    <t>Created by LibXL trial version 4.1.0. Please buy the LibXL full version for removing this message.</t>
  </si>
  <si>
    <t>i7</t>
  </si>
  <si>
    <t>AMD</t>
  </si>
  <si>
    <t>Всего:</t>
  </si>
  <si>
    <t>Список компьютеров КБ №8</t>
  </si>
  <si>
    <t>Железо:</t>
  </si>
  <si>
    <t>Операционка:</t>
  </si>
  <si>
    <t>date</t>
  </si>
  <si>
    <t>unknown</t>
  </si>
  <si>
    <t>Всего компьютеров:</t>
  </si>
  <si>
    <t>printer</t>
  </si>
  <si>
    <t>192.168.0.139</t>
  </si>
  <si>
    <t>ASRock J3355M</t>
  </si>
  <si>
    <t>6Gb</t>
  </si>
  <si>
    <t>WDC WD5000BPVT-2</t>
  </si>
  <si>
    <t>500 GB/466 GiB</t>
  </si>
  <si>
    <t>ALT Workstation 8.2</t>
  </si>
  <si>
    <t>sleep</t>
  </si>
  <si>
    <t>home</t>
  </si>
  <si>
    <t>home-comp</t>
  </si>
  <si>
    <t>10.67.64.62</t>
  </si>
  <si>
    <t>00:58:3f:17:59:a3</t>
  </si>
  <si>
    <t>Aquarius AQH310CM</t>
  </si>
  <si>
    <t>Intel(R) i5-9400 2.90GHz</t>
  </si>
  <si>
    <t>FOXLINE_FLSSD256X5</t>
  </si>
  <si>
    <t>256 GB/238 GiB</t>
  </si>
  <si>
    <t>ALT Workstation 9.0</t>
  </si>
  <si>
    <t>316</t>
  </si>
  <si>
    <t>pol1</t>
  </si>
  <si>
    <t xml:space="preserve">Intel(R) J3355 2.00GHz </t>
  </si>
  <si>
    <t>8Gb</t>
  </si>
  <si>
    <t>Alt-Linux 8</t>
  </si>
  <si>
    <t>Alt-Linux 9</t>
  </si>
  <si>
    <t>Windows 7</t>
  </si>
  <si>
    <t>Windows 10</t>
  </si>
  <si>
    <t>10.67.40.17</t>
  </si>
  <si>
    <t>00:58:3f:12:36:49</t>
  </si>
  <si>
    <t>Aquarius AQB365MC</t>
  </si>
  <si>
    <t xml:space="preserve">FOXLINE_FLSSD256X5 </t>
  </si>
  <si>
    <t>SSD 256Gb</t>
  </si>
  <si>
    <t>8</t>
  </si>
  <si>
    <t>tuber</t>
  </si>
  <si>
    <t>10.67.40.20</t>
  </si>
  <si>
    <t>00:58:3f:12:36:42</t>
  </si>
  <si>
    <t>6</t>
  </si>
  <si>
    <t>192.168.0.172</t>
  </si>
  <si>
    <t>2C:56:DC:DB:90:05</t>
  </si>
  <si>
    <t>CentOS Stream 9</t>
  </si>
  <si>
    <t>ASUSTeK A68HM-K</t>
  </si>
  <si>
    <t xml:space="preserve">AMD Athlon(tm) X2 340 </t>
  </si>
  <si>
    <t>HDD 1000Gb</t>
  </si>
  <si>
    <t>TOSHIBA DT01ACA100</t>
  </si>
  <si>
    <t>10.67.11.32</t>
  </si>
  <si>
    <t>00:58:3F:0D:24:AD</t>
  </si>
  <si>
    <t>ASUSTeK PRIME B365M-C</t>
  </si>
  <si>
    <t xml:space="preserve">Intel(R) i5-9400 2.90GHz </t>
  </si>
  <si>
    <t>FOXLINE FLSSD256X5</t>
  </si>
  <si>
    <t>ALT Workstation 10.4</t>
  </si>
  <si>
    <t>dpk5324</t>
  </si>
  <si>
    <t>312</t>
  </si>
  <si>
    <t>uprav</t>
  </si>
  <si>
    <t>192.168.36.34</t>
  </si>
  <si>
    <t>00:58:3F:12:37:A7</t>
  </si>
  <si>
    <t>SSD 256</t>
  </si>
  <si>
    <t>4</t>
  </si>
  <si>
    <t>stomatology</t>
  </si>
  <si>
    <t>10.67.2.33</t>
  </si>
  <si>
    <t>18-C0-4D-D7-67-0E</t>
  </si>
  <si>
    <t>Gigabyte H510M H</t>
  </si>
  <si>
    <t>Intel(R) i3-10100 3.60GHz</t>
  </si>
  <si>
    <t>KINGSTON SA400S37480G</t>
  </si>
  <si>
    <t>SSD 447 Gb</t>
  </si>
  <si>
    <t xml:space="preserve">Windows 10 IoT Enterprise LTSC </t>
  </si>
  <si>
    <t>KOMPUTER</t>
  </si>
  <si>
    <t>10.67.2.8</t>
  </si>
  <si>
    <t>58-11-22-07-4E-DF</t>
  </si>
  <si>
    <t>ASUSTeK PRIME H510M-K</t>
  </si>
  <si>
    <t>Intel(R) i5-10400 2.90GHz</t>
  </si>
  <si>
    <t>ST500NM0011</t>
  </si>
  <si>
    <t>SSD 465 Gb</t>
  </si>
  <si>
    <t>Windows 10 Pro</t>
  </si>
  <si>
    <t>WS-002-008</t>
  </si>
  <si>
    <t>312 IGOR</t>
  </si>
  <si>
    <t>192.168.0.129</t>
  </si>
  <si>
    <t>38-D5-47-E1-3E-C6</t>
  </si>
  <si>
    <t>ASUSTeK Z170-K</t>
  </si>
  <si>
    <t>Intel(R) i7-6700K 4.00GHz</t>
  </si>
  <si>
    <t>32Gb</t>
  </si>
  <si>
    <t>931Gb</t>
  </si>
  <si>
    <t>Windows 10 IoT Enterprise</t>
  </si>
  <si>
    <t>my</t>
  </si>
  <si>
    <t>10.67.64.3</t>
  </si>
  <si>
    <t>00:58:3F:17:62:CA</t>
  </si>
  <si>
    <t>238Gb</t>
  </si>
  <si>
    <t>10.67.64.96</t>
  </si>
  <si>
    <t>00:58:3F:0F:42:79</t>
  </si>
  <si>
    <t>1051a2</t>
  </si>
  <si>
    <t>417</t>
  </si>
  <si>
    <t>10.67.64.38</t>
  </si>
  <si>
    <t>00:58:3F:17:54:A4</t>
  </si>
  <si>
    <t>818</t>
  </si>
  <si>
    <t>10.67.64.92</t>
  </si>
  <si>
    <t>00:58:3F:17:63:82</t>
  </si>
  <si>
    <t>FOXLINE_FLSSD256X5 OnlyDisk</t>
  </si>
  <si>
    <t>SSD 238Gb</t>
  </si>
  <si>
    <t>330</t>
  </si>
  <si>
    <t>10.67.64.98</t>
  </si>
  <si>
    <t>00:58:3F:17:6A:B2</t>
  </si>
  <si>
    <t>registratura</t>
  </si>
  <si>
    <t>10.67.38.58</t>
  </si>
  <si>
    <t>10-FF-E0-63-ED-A8</t>
  </si>
  <si>
    <t>Gigabyte H410M K</t>
  </si>
  <si>
    <t>16Gb</t>
  </si>
  <si>
    <t>WD Blue SN5000 500GB</t>
  </si>
  <si>
    <t>HDD 465Gb</t>
  </si>
  <si>
    <t>WS-038-058</t>
  </si>
  <si>
    <t>409</t>
  </si>
  <si>
    <t>192.168.36.25</t>
  </si>
  <si>
    <t>18-C0-4D-CD-F6-5E</t>
  </si>
  <si>
    <t>Gigabyte H410M H V3</t>
  </si>
  <si>
    <t>Intel(R) i3-10105 3.70GHz</t>
  </si>
  <si>
    <t>Samsung SSD 870 EVO 500GB</t>
  </si>
  <si>
    <t>465Gb</t>
  </si>
  <si>
    <t>WS-036-025</t>
  </si>
  <si>
    <t>5</t>
  </si>
  <si>
    <t>stomat</t>
  </si>
  <si>
    <t>192.168.36.31</t>
  </si>
  <si>
    <t>00:58:3F:12:1D:48</t>
  </si>
  <si>
    <t>9Gb</t>
  </si>
  <si>
    <t>10.67.22.105</t>
  </si>
  <si>
    <t>00:58:3F:12:36:6D</t>
  </si>
  <si>
    <t>247</t>
  </si>
  <si>
    <t>10.67.64.8</t>
  </si>
  <si>
    <t>00:58:3F:17:57:D6</t>
  </si>
  <si>
    <t>~</t>
  </si>
  <si>
    <t>10.67.64.40</t>
  </si>
  <si>
    <t>00:58:3F:17:54:E6</t>
  </si>
  <si>
    <t>530</t>
  </si>
  <si>
    <t>10.67.64.88</t>
  </si>
  <si>
    <t>00:58:3F:17:72:F0</t>
  </si>
  <si>
    <t>8GB</t>
  </si>
  <si>
    <t>542</t>
  </si>
  <si>
    <t>10.67.22.66</t>
  </si>
  <si>
    <t>2C-F0-5D-9E-B2-56</t>
  </si>
  <si>
    <t>AMD Ryzen 5 3400G</t>
  </si>
  <si>
    <t>6GiB</t>
  </si>
  <si>
    <t>Smartbuy SSD 256GB</t>
  </si>
  <si>
    <t>256Gb</t>
  </si>
  <si>
    <t>WS-022-066</t>
  </si>
  <si>
    <t>HP LaserJet Pro M428f-M429f</t>
  </si>
  <si>
    <t>detstvo</t>
  </si>
  <si>
    <t>10.67.64.26</t>
  </si>
  <si>
    <t>00:58:3F:17:76:0C</t>
  </si>
  <si>
    <t>817</t>
  </si>
  <si>
    <t>10.67.64.9</t>
  </si>
  <si>
    <t>00:58:3F:17:6A:52</t>
  </si>
  <si>
    <t>511</t>
  </si>
  <si>
    <t>10.67.64.52</t>
  </si>
  <si>
    <t>00:58:3F:17:59:52</t>
  </si>
  <si>
    <t>824</t>
  </si>
  <si>
    <t>10.67.64.82</t>
  </si>
  <si>
    <t>00:58:3F:0F:3F:87</t>
  </si>
  <si>
    <t>433</t>
  </si>
  <si>
    <t>10.67.12.49</t>
  </si>
  <si>
    <t>00:58:3F:0F:47:D7</t>
  </si>
  <si>
    <t>10.67.12.70</t>
  </si>
  <si>
    <t>00:58:3F:16:57:0A</t>
  </si>
  <si>
    <t>st.ses</t>
  </si>
  <si>
    <t>localhost</t>
  </si>
  <si>
    <t>10.67.28.73</t>
  </si>
  <si>
    <t>F8:CC:6E:00:AF:9E</t>
  </si>
  <si>
    <t>DEPO Computers DPH110S</t>
  </si>
  <si>
    <t>Intel(R) G5420 3.80GHz</t>
  </si>
  <si>
    <t>QUMO_SSD</t>
  </si>
  <si>
    <t>SSD 120Gb</t>
  </si>
  <si>
    <t>ALT 8 SP Workstation</t>
  </si>
  <si>
    <t>002096</t>
  </si>
  <si>
    <t>HP Laserjet M14-M17</t>
  </si>
  <si>
    <t>1</t>
  </si>
  <si>
    <t>pat.anatom.</t>
  </si>
  <si>
    <t>10.67.64.2</t>
  </si>
  <si>
    <t>00:58:3F:17:76:20</t>
  </si>
  <si>
    <t>HP M428</t>
  </si>
  <si>
    <t>8 GB</t>
  </si>
  <si>
    <t>Samsung-SCX-483x-5x3x-Series</t>
  </si>
  <si>
    <t>10.67.64.5</t>
  </si>
  <si>
    <t>00:58:3F:17:58:0C</t>
  </si>
  <si>
    <t>10.67.64.107</t>
  </si>
  <si>
    <t>00:58:3F:0F:4C:F7</t>
  </si>
  <si>
    <t>Pantum BP5100DN</t>
  </si>
  <si>
    <t>325</t>
  </si>
  <si>
    <t>registr</t>
  </si>
  <si>
    <t>pol1-3level</t>
  </si>
  <si>
    <t>h5</t>
  </si>
  <si>
    <t>sts</t>
  </si>
  <si>
    <t>h2</t>
  </si>
  <si>
    <t xml:space="preserve">MSI A320M-A PRO </t>
  </si>
  <si>
    <t>10.67.28.59</t>
  </si>
  <si>
    <t>F8:CC:6E:00:B1:CF</t>
  </si>
  <si>
    <t xml:space="preserve">KINGSTON_SA400S37240G </t>
  </si>
  <si>
    <t>SSD 240Gb</t>
  </si>
  <si>
    <t>10.67.24.12</t>
  </si>
  <si>
    <t>04-D9-F5-81-FB-29</t>
  </si>
  <si>
    <t>ASUSTeK PRIME A320M-A</t>
  </si>
  <si>
    <t>WDC WD5003ABYX-01WERA1</t>
  </si>
  <si>
    <t>500Gb</t>
  </si>
  <si>
    <t>WS-024-012</t>
  </si>
  <si>
    <t>HP LaserJet Pro M404dn</t>
  </si>
  <si>
    <t>disp</t>
  </si>
  <si>
    <t>skp</t>
  </si>
  <si>
    <t>10.67.64.46</t>
  </si>
  <si>
    <t>00:58:3F:17:69:FE</t>
  </si>
  <si>
    <t>Cups-PDF</t>
  </si>
  <si>
    <t>923</t>
  </si>
  <si>
    <t>pol1 khl</t>
  </si>
  <si>
    <t>10.67.14.88</t>
  </si>
  <si>
    <t>D0-27-88-9A-7C-7C</t>
  </si>
  <si>
    <t>Foxconn H61S</t>
  </si>
  <si>
    <t>Intel Celeron CPU G530 2.40GHz</t>
  </si>
  <si>
    <t>12Gb</t>
  </si>
  <si>
    <t>WD Green</t>
  </si>
  <si>
    <t>SSD 500Gb</t>
  </si>
  <si>
    <t>WS-014-088</t>
  </si>
  <si>
    <t>Samsung SCX-483x 5x3x Series</t>
  </si>
  <si>
    <t>F0-B4-D2-2C-6D-1D</t>
  </si>
  <si>
    <t>Intel i3-10100 3.60GHz</t>
  </si>
  <si>
    <t>SSD 480Gb</t>
  </si>
  <si>
    <t>Windows 10 IoT Enterprise LTSC</t>
  </si>
  <si>
    <t>HP LaserJet Pro M428fdw</t>
  </si>
  <si>
    <t>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</si>
</sst>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₽&quot;"/>
  </numFmts>
  <fonts count="485" x14ac:knownFonts="1">
    <font>
      <sz val="11"/>
      <color theme="1"/>
      <name val="Calibri"/>
      <family val="2"/>
      <charset val="204"/>
      <scheme val="minor"/>
    </font>
    <font>
      <b/>
      <sz val="16"/>
      <color indexed="30"/>
      <name val="Calibri"/>
      <family val="2"/>
    </font>
    <font>
      <b/>
      <sz val="14"/>
      <color indexed="63"/>
      <name val="Calibri"/>
      <family val="2"/>
    </font>
    <font>
      <i/>
      <sz val="11"/>
      <color indexed="63"/>
      <name val="Calibri"/>
      <family val="2"/>
    </font>
    <font>
      <sz val="11"/>
      <name val="Calibri"/>
      <family val="2"/>
    </font>
    <font>
      <b/>
      <sz val="12"/>
      <color indexed="63"/>
      <name val="Calibri"/>
      <family val="2"/>
    </font>
    <font>
      <b/>
      <sz val="10"/>
      <color indexed="60"/>
      <name val="Arial"/>
    </font>
    <font>
      <b/>
      <sz val="10"/>
      <color indexed="60"/>
      <name val="Arial"/>
    </font>
    <font>
      <b/>
      <sz val="14"/>
      <color indexed="57"/>
      <name val="Calibri"/>
      <family val="2"/>
      <charset val="204"/>
    </font>
    <font>
      <sz val="12"/>
      <color indexed="53"/>
      <name val="Calibri"/>
      <family val="2"/>
    </font>
    <font>
      <b/>
      <sz val="12"/>
      <color indexed="53"/>
      <name val="Calibri"/>
      <family val="2"/>
    </font>
    <font>
      <b/>
      <sz val="11"/>
      <color indexed="10"/>
      <name val="Play"/>
      <charset val="204"/>
    </font>
    <font>
      <b/>
      <sz val="18"/>
      <color indexed="57"/>
      <name val="Calibri"/>
      <family val="2"/>
    </font>
    <font>
      <b/>
      <sz val="12"/>
      <color indexed="63"/>
      <name val="Calibri"/>
      <family val="2"/>
    </font>
    <font>
      <b/>
      <sz val="12"/>
      <color indexed="60"/>
      <name val="Arial"/>
      <family val="2"/>
      <charset val="204"/>
    </font>
    <font>
      <b/>
      <sz val="12"/>
      <color indexed="57"/>
      <name val="Arial"/>
      <family val="2"/>
      <charset val="204"/>
    </font>
    <font>
      <b/>
      <sz val="11"/>
      <color indexed="62"/>
      <name val="Arial"/>
      <family val="2"/>
      <charset val="204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  <family val="2"/>
      <charset val="204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b/>
      <sz val="12"/>
      <name val="Calibri"/>
    </font>
    <font>
      <b/>
      <sz val="12"/>
      <color indexed="10"/>
      <name val="Calibri"/>
    </font>
    <font>
      <b/>
      <sz val="12"/>
      <color indexed="53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  <font>
      <sz val="12"/>
      <color indexed="8"/>
      <name val="Calibri"/>
    </font>
  </fonts>
  <fills count="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2"/>
      </top>
      <bottom/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thin">
        <color indexed="64"/>
      </right>
      <top style="medium">
        <color indexed="30"/>
      </top>
      <bottom style="medium">
        <color indexed="30"/>
      </bottom>
      <diagonal/>
    </border>
    <border>
      <left style="thin">
        <color indexed="64"/>
      </left>
      <right/>
      <top style="medium">
        <color indexed="30"/>
      </top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23"/>
      </top>
      <bottom/>
      <diagonal/>
    </border>
  </borders>
  <cellStyleXfs count="10">
    <xf numFmtId="0" fontId="0" fillId="0" borderId="0"/>
    <xf numFmtId="0" fontId="2" fillId="0" borderId="1" applyNumberFormat="0" applyFill="0" applyProtection="0">
      <alignment vertical="center"/>
    </xf>
    <xf numFmtId="0" fontId="3" fillId="0" borderId="2" applyNumberFormat="0" applyProtection="0">
      <alignment vertical="center"/>
    </xf>
    <xf numFmtId="14" fontId="4" fillId="0" borderId="0" applyFill="0" applyBorder="0" applyAlignment="0"/>
    <xf numFmtId="0" fontId="1" fillId="0" borderId="0" applyFill="0" applyBorder="0" applyProtection="0">
      <alignment horizontal="left" vertical="center" wrapText="1" indent="1"/>
    </xf>
    <xf numFmtId="1" fontId="4" fillId="0" borderId="0" applyFill="0" applyBorder="0" applyAlignment="0"/>
    <xf numFmtId="0" fontId="4" fillId="3" borderId="0" applyNumberFormat="0" applyAlignment="0"/>
    <xf numFmtId="0" fontId="5" fillId="0" borderId="0" applyFill="0" applyProtection="0">
      <alignment horizontal="center" vertical="center" wrapText="1"/>
    </xf>
    <xf numFmtId="164" fontId="4" fillId="0" borderId="0" applyFill="0" applyBorder="0" applyAlignment="0" applyProtection="0"/>
    <xf numFmtId="164" fontId="4" fillId="0" borderId="0" applyFill="0" applyBorder="0" applyProtection="0">
      <alignment horizontal="right" indent="3"/>
    </xf>
  </cellStyleXfs>
  <cellXfs count="498">
    <xf numFmtId="0" fontId="0" fillId="0" borderId="0" xfId="0"/>
    <xf numFmtId="0" fontId="6" fillId="4" borderId="0" xfId="0" applyFont="1" applyFill="1" applyAlignment="1">
      <alignment vertical="center"/>
    </xf>
    <xf numFmtId="0" fontId="0" fillId="4" borderId="0" xfId="0" applyFill="1"/>
    <xf numFmtId="3" fontId="11" fillId="0" borderId="0" xfId="8" applyNumberFormat="1" applyFont="1" applyFill="1" applyBorder="1" applyAlignment="1" applyProtection="1">
      <alignment horizontal="right" vertical="center" indent="1"/>
    </xf>
    <xf numFmtId="0" fontId="12" fillId="4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7" fillId="0" borderId="3" xfId="0" applyFont="1" applyBorder="1" applyAlignment="1">
      <alignment horizontal="right" vertical="center"/>
    </xf>
    <xf numFmtId="14" fontId="18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4" fillId="0" borderId="0" xfId="0" applyFont="1" applyAlignment="1">
      <alignment horizontal="righ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7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9" fillId="0" borderId="0" xfId="0" applyFont="1" applyAlignment="1">
      <alignment horizontal="right" vertical="center"/>
    </xf>
    <xf numFmtId="0" fontId="9" fillId="5" borderId="4" xfId="0" applyFont="1" applyFill="1" applyBorder="1" applyAlignment="1">
      <alignment horizontal="center" vertical="center"/>
    </xf>
    <xf numFmtId="0" fontId="13" fillId="5" borderId="5" xfId="7" applyFont="1" applyFill="1" applyBorder="1" applyProtection="1">
      <alignment horizontal="center" vertical="center" wrapText="1"/>
    </xf>
    <xf numFmtId="0" fontId="13" fillId="5" borderId="6" xfId="7" applyFont="1" applyFill="1" applyBorder="1" applyProtection="1">
      <alignment horizontal="center" vertical="center" wrapText="1"/>
    </xf>
    <xf numFmtId="0" fontId="13" fillId="5" borderId="7" xfId="7" applyFont="1" applyFill="1" applyBorder="1" applyProtection="1">
      <alignment horizontal="center" vertical="center" wrapText="1"/>
    </xf>
    <xf numFmtId="0" fontId="5" fillId="5" borderId="8" xfId="7" applyFill="1" applyBorder="1" applyProtection="1">
      <alignment horizontal="center" vertical="center" wrapText="1"/>
    </xf>
    <xf numFmtId="0" fontId="10" fillId="5" borderId="6" xfId="7" applyFont="1" applyFill="1" applyBorder="1" applyProtection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14" fontId="30" fillId="0" borderId="3" xfId="0" applyNumberFormat="1" applyFont="1" applyBorder="1" applyAlignment="1">
      <alignment horizontal="center" vertical="center"/>
    </xf>
    <xf numFmtId="0" fontId="31" fillId="0" borderId="3" xfId="0" applyFont="1" applyBorder="1" applyAlignment="1">
      <alignment horizontal="right" vertical="center"/>
    </xf>
    <xf numFmtId="0" fontId="32" fillId="0" borderId="3" xfId="0" applyFont="1" applyBorder="1" applyAlignment="1">
      <alignment horizontal="right" vertical="center"/>
    </xf>
    <xf numFmtId="0" fontId="37" fillId="0" borderId="3" xfId="0" applyFont="1" applyBorder="1" applyAlignment="1">
      <alignment horizontal="right" vertical="center"/>
    </xf>
    <xf numFmtId="0" fontId="38" fillId="0" borderId="3" xfId="0" applyFont="1" applyBorder="1" applyAlignment="1">
      <alignment horizontal="right" vertical="center"/>
    </xf>
    <xf numFmtId="0" fontId="39" fillId="0" borderId="3" xfId="0" applyFont="1" applyBorder="1" applyAlignment="1">
      <alignment horizontal="right" vertical="center"/>
    </xf>
    <xf numFmtId="0" fontId="40" fillId="0" borderId="3" xfId="0" applyFont="1" applyBorder="1" applyAlignment="1">
      <alignment horizontal="right" vertical="center"/>
    </xf>
    <xf numFmtId="0" fontId="41" fillId="0" borderId="3" xfId="0" applyFont="1" applyBorder="1" applyAlignment="1">
      <alignment horizontal="right" vertical="center"/>
    </xf>
    <xf numFmtId="0" fontId="42" fillId="0" borderId="3" xfId="0" applyFont="1" applyBorder="1" applyAlignment="1">
      <alignment horizontal="right" vertical="center"/>
    </xf>
    <xf numFmtId="14" fontId="43" fillId="0" borderId="3" xfId="0" applyNumberFormat="1" applyFont="1" applyBorder="1" applyAlignment="1">
      <alignment horizontal="center" vertical="center"/>
    </xf>
    <xf numFmtId="0" fontId="44" fillId="0" borderId="3" xfId="0" applyFont="1" applyBorder="1" applyAlignment="1">
      <alignment horizontal="right" vertical="center"/>
    </xf>
    <xf numFmtId="0" fontId="45" fillId="0" borderId="3" xfId="0" applyFont="1" applyBorder="1" applyAlignment="1">
      <alignment horizontal="right" vertical="center"/>
    </xf>
    <xf numFmtId="0" fontId="49" fillId="0" borderId="3" xfId="0" applyFont="1" applyBorder="1" applyAlignment="1">
      <alignment horizontal="right" vertical="center"/>
    </xf>
    <xf numFmtId="0" fontId="50" fillId="0" borderId="3" xfId="0" applyFont="1" applyBorder="1" applyAlignment="1">
      <alignment horizontal="right" vertical="center"/>
    </xf>
    <xf numFmtId="0" fontId="51" fillId="0" borderId="3" xfId="0" applyFont="1" applyBorder="1" applyAlignment="1">
      <alignment horizontal="right" vertical="center"/>
    </xf>
    <xf numFmtId="0" fontId="52" fillId="0" borderId="3" xfId="0" applyFont="1" applyBorder="1" applyAlignment="1">
      <alignment horizontal="right" vertical="center"/>
    </xf>
    <xf numFmtId="0" fontId="53" fillId="0" borderId="3" xfId="0" applyFont="1" applyBorder="1" applyAlignment="1">
      <alignment horizontal="right" vertical="center"/>
    </xf>
    <xf numFmtId="0" fontId="54" fillId="0" borderId="3" xfId="0" applyFont="1" applyBorder="1" applyAlignment="1">
      <alignment horizontal="right" vertical="center"/>
    </xf>
    <xf numFmtId="14" fontId="55" fillId="0" borderId="3" xfId="0" applyNumberFormat="1" applyFont="1" applyBorder="1" applyAlignment="1">
      <alignment horizontal="center" vertical="center"/>
    </xf>
    <xf numFmtId="0" fontId="56" fillId="0" borderId="3" xfId="0" applyFont="1" applyBorder="1" applyAlignment="1">
      <alignment horizontal="right" vertical="center"/>
    </xf>
    <xf numFmtId="0" fontId="57" fillId="0" borderId="3" xfId="0" applyFont="1" applyBorder="1" applyAlignment="1">
      <alignment horizontal="right" vertical="center"/>
    </xf>
    <xf numFmtId="0" fontId="58" fillId="0" borderId="3" xfId="0" applyFont="1" applyBorder="1" applyAlignment="1">
      <alignment horizontal="right" vertical="center"/>
    </xf>
    <xf numFmtId="0" fontId="59" fillId="0" borderId="3" xfId="0" applyFont="1" applyBorder="1" applyAlignment="1">
      <alignment horizontal="right" vertical="center"/>
    </xf>
    <xf numFmtId="0" fontId="60" fillId="0" borderId="3" xfId="0" applyFont="1" applyBorder="1" applyAlignment="1">
      <alignment horizontal="right" vertical="center"/>
    </xf>
    <xf numFmtId="0" fontId="61" fillId="0" borderId="3" xfId="0" applyFont="1" applyBorder="1" applyAlignment="1">
      <alignment horizontal="right" vertical="center"/>
    </xf>
    <xf numFmtId="14" fontId="62" fillId="0" borderId="3" xfId="0" applyNumberFormat="1" applyFont="1" applyBorder="1" applyAlignment="1">
      <alignment horizontal="center" vertical="center"/>
    </xf>
    <xf numFmtId="0" fontId="63" fillId="0" borderId="3" xfId="0" applyFont="1" applyBorder="1" applyAlignment="1">
      <alignment horizontal="right" vertical="center"/>
    </xf>
    <xf numFmtId="0" fontId="64" fillId="0" borderId="3" xfId="0" applyFont="1" applyBorder="1" applyAlignment="1">
      <alignment horizontal="right" vertical="center"/>
    </xf>
    <xf numFmtId="0" fontId="69" fillId="0" borderId="3" xfId="0" applyFont="1" applyBorder="1" applyAlignment="1">
      <alignment horizontal="right" vertical="center"/>
    </xf>
    <xf numFmtId="0" fontId="70" fillId="0" borderId="3" xfId="0" applyFont="1" applyBorder="1" applyAlignment="1">
      <alignment horizontal="right" vertical="center"/>
    </xf>
    <xf numFmtId="0" fontId="71" fillId="0" borderId="3" xfId="0" applyFont="1" applyBorder="1" applyAlignment="1">
      <alignment horizontal="right" vertical="center"/>
    </xf>
    <xf numFmtId="0" fontId="72" fillId="0" borderId="3" xfId="0" applyFont="1" applyBorder="1" applyAlignment="1">
      <alignment horizontal="right" vertical="center"/>
    </xf>
    <xf numFmtId="0" fontId="73" fillId="0" borderId="3" xfId="0" applyFont="1" applyBorder="1" applyAlignment="1">
      <alignment horizontal="right" vertical="center"/>
    </xf>
    <xf numFmtId="0" fontId="74" fillId="0" borderId="3" xfId="0" applyFont="1" applyBorder="1" applyAlignment="1">
      <alignment horizontal="right" vertical="center"/>
    </xf>
    <xf numFmtId="14" fontId="75" fillId="0" borderId="3" xfId="0" applyNumberFormat="1" applyFont="1" applyBorder="1" applyAlignment="1">
      <alignment horizontal="center" vertical="center"/>
    </xf>
    <xf numFmtId="0" fontId="76" fillId="0" borderId="3" xfId="0" applyFont="1" applyBorder="1" applyAlignment="1">
      <alignment horizontal="right" vertical="center"/>
    </xf>
    <xf numFmtId="0" fontId="77" fillId="0" borderId="3" xfId="0" applyFont="1" applyBorder="1" applyAlignment="1">
      <alignment horizontal="right" vertical="center"/>
    </xf>
    <xf numFmtId="0" fontId="81" fillId="0" borderId="3" xfId="0" applyFont="1" applyBorder="1" applyAlignment="1">
      <alignment horizontal="right" vertical="center"/>
    </xf>
    <xf numFmtId="0" fontId="82" fillId="0" borderId="3" xfId="0" applyFont="1" applyBorder="1" applyAlignment="1">
      <alignment horizontal="right" vertical="center"/>
    </xf>
    <xf numFmtId="0" fontId="83" fillId="0" borderId="3" xfId="0" applyFont="1" applyBorder="1" applyAlignment="1">
      <alignment horizontal="right" vertical="center"/>
    </xf>
    <xf numFmtId="0" fontId="84" fillId="0" borderId="3" xfId="0" applyFont="1" applyBorder="1" applyAlignment="1">
      <alignment horizontal="right" vertical="center"/>
    </xf>
    <xf numFmtId="0" fontId="85" fillId="0" borderId="3" xfId="0" applyFont="1" applyBorder="1" applyAlignment="1">
      <alignment horizontal="right" vertical="center"/>
    </xf>
    <xf numFmtId="14" fontId="86" fillId="0" borderId="3" xfId="0" applyNumberFormat="1" applyFont="1" applyBorder="1" applyAlignment="1">
      <alignment horizontal="center" vertical="center"/>
    </xf>
    <xf numFmtId="0" fontId="87" fillId="0" borderId="3" xfId="0" applyFont="1" applyBorder="1" applyAlignment="1">
      <alignment horizontal="right" vertical="center"/>
    </xf>
    <xf numFmtId="0" fontId="88" fillId="0" borderId="3" xfId="0" applyFont="1" applyBorder="1" applyAlignment="1">
      <alignment horizontal="right" vertical="center"/>
    </xf>
    <xf numFmtId="0" fontId="93" fillId="0" borderId="3" xfId="0" applyFont="1" applyBorder="1" applyAlignment="1">
      <alignment horizontal="right" vertical="center"/>
    </xf>
    <xf numFmtId="0" fontId="94" fillId="0" borderId="3" xfId="0" applyFont="1" applyBorder="1" applyAlignment="1">
      <alignment horizontal="right" vertical="center"/>
    </xf>
    <xf numFmtId="0" fontId="95" fillId="0" borderId="3" xfId="0" applyFont="1" applyBorder="1" applyAlignment="1">
      <alignment horizontal="right" vertical="center"/>
    </xf>
    <xf numFmtId="0" fontId="96" fillId="0" borderId="3" xfId="0" applyFont="1" applyBorder="1" applyAlignment="1">
      <alignment horizontal="right" vertical="center"/>
    </xf>
    <xf numFmtId="0" fontId="97" fillId="0" borderId="3" xfId="0" applyFont="1" applyBorder="1" applyAlignment="1">
      <alignment horizontal="right" vertical="center"/>
    </xf>
    <xf numFmtId="0" fontId="98" fillId="0" borderId="3" xfId="0" applyFont="1" applyBorder="1" applyAlignment="1">
      <alignment horizontal="right" vertical="center"/>
    </xf>
    <xf numFmtId="14" fontId="99" fillId="0" borderId="3" xfId="0" applyNumberFormat="1" applyFont="1" applyBorder="1" applyAlignment="1">
      <alignment horizontal="center" vertical="center"/>
    </xf>
    <xf numFmtId="0" fontId="100" fillId="0" borderId="3" xfId="0" applyFont="1" applyBorder="1" applyAlignment="1">
      <alignment horizontal="right" vertical="center"/>
    </xf>
    <xf numFmtId="0" fontId="101" fillId="0" borderId="3" xfId="0" applyFont="1" applyBorder="1" applyAlignment="1">
      <alignment horizontal="right" vertical="center"/>
    </xf>
    <xf numFmtId="0" fontId="106" fillId="0" borderId="3" xfId="0" applyFont="1" applyBorder="1" applyAlignment="1">
      <alignment horizontal="right" vertical="center"/>
    </xf>
    <xf numFmtId="0" fontId="107" fillId="0" borderId="3" xfId="0" applyFont="1" applyBorder="1" applyAlignment="1">
      <alignment horizontal="right" vertical="center"/>
    </xf>
    <xf numFmtId="0" fontId="108" fillId="0" borderId="3" xfId="0" applyFont="1" applyBorder="1" applyAlignment="1">
      <alignment horizontal="right" vertical="center"/>
    </xf>
    <xf numFmtId="0" fontId="109" fillId="0" borderId="3" xfId="0" applyFont="1" applyBorder="1" applyAlignment="1">
      <alignment horizontal="right" vertical="center"/>
    </xf>
    <xf numFmtId="0" fontId="110" fillId="0" borderId="3" xfId="0" applyFont="1" applyBorder="1" applyAlignment="1">
      <alignment horizontal="right" vertical="center"/>
    </xf>
    <xf numFmtId="0" fontId="111" fillId="0" borderId="3" xfId="0" applyFont="1" applyBorder="1" applyAlignment="1">
      <alignment horizontal="right" vertical="center"/>
    </xf>
    <xf numFmtId="14" fontId="112" fillId="0" borderId="3" xfId="0" applyNumberFormat="1" applyFont="1" applyBorder="1" applyAlignment="1">
      <alignment horizontal="center" vertical="center"/>
    </xf>
    <xf numFmtId="0" fontId="113" fillId="0" borderId="3" xfId="0" applyFont="1" applyBorder="1" applyAlignment="1">
      <alignment horizontal="right" vertical="center"/>
    </xf>
    <xf numFmtId="0" fontId="114" fillId="0" borderId="3" xfId="0" applyFont="1" applyBorder="1" applyAlignment="1">
      <alignment horizontal="right" vertical="center"/>
    </xf>
    <xf numFmtId="0" fontId="119" fillId="0" borderId="3" xfId="0" applyFont="1" applyBorder="1" applyAlignment="1">
      <alignment horizontal="right" vertical="center"/>
    </xf>
    <xf numFmtId="0" fontId="120" fillId="0" borderId="3" xfId="0" applyFont="1" applyBorder="1" applyAlignment="1">
      <alignment horizontal="right" vertical="center"/>
    </xf>
    <xf numFmtId="0" fontId="121" fillId="0" borderId="3" xfId="0" applyFont="1" applyBorder="1" applyAlignment="1">
      <alignment horizontal="right" vertical="center"/>
    </xf>
    <xf numFmtId="0" fontId="122" fillId="0" borderId="3" xfId="0" applyFont="1" applyBorder="1" applyAlignment="1">
      <alignment horizontal="right" vertical="center"/>
    </xf>
    <xf numFmtId="0" fontId="123" fillId="0" borderId="3" xfId="0" applyFont="1" applyBorder="1" applyAlignment="1">
      <alignment horizontal="right" vertical="center"/>
    </xf>
    <xf numFmtId="0" fontId="124" fillId="0" borderId="3" xfId="0" applyFont="1" applyBorder="1" applyAlignment="1">
      <alignment horizontal="right" vertical="center"/>
    </xf>
    <xf numFmtId="14" fontId="125" fillId="0" borderId="3" xfId="0" applyNumberFormat="1" applyFont="1" applyBorder="1" applyAlignment="1">
      <alignment horizontal="center" vertical="center"/>
    </xf>
    <xf numFmtId="0" fontId="126" fillId="0" borderId="3" xfId="0" applyFont="1" applyBorder="1" applyAlignment="1">
      <alignment horizontal="right" vertical="center"/>
    </xf>
    <xf numFmtId="0" fontId="127" fillId="0" borderId="3" xfId="0" applyFont="1" applyBorder="1" applyAlignment="1">
      <alignment horizontal="right" vertical="center"/>
    </xf>
    <xf numFmtId="0" fontId="132" fillId="0" borderId="3" xfId="0" applyFont="1" applyBorder="1" applyAlignment="1">
      <alignment horizontal="right" vertical="center"/>
    </xf>
    <xf numFmtId="0" fontId="133" fillId="0" borderId="3" xfId="0" applyFont="1" applyBorder="1" applyAlignment="1">
      <alignment horizontal="right" vertical="center"/>
    </xf>
    <xf numFmtId="0" fontId="134" fillId="0" borderId="3" xfId="0" applyFont="1" applyBorder="1" applyAlignment="1">
      <alignment horizontal="right" vertical="center"/>
    </xf>
    <xf numFmtId="0" fontId="135" fillId="0" borderId="3" xfId="0" applyFont="1" applyBorder="1" applyAlignment="1">
      <alignment horizontal="right" vertical="center"/>
    </xf>
    <xf numFmtId="0" fontId="136" fillId="0" borderId="3" xfId="0" applyFont="1" applyBorder="1" applyAlignment="1">
      <alignment horizontal="right" vertical="center"/>
    </xf>
    <xf numFmtId="14" fontId="137" fillId="0" borderId="3" xfId="0" applyNumberFormat="1" applyFont="1" applyBorder="1" applyAlignment="1">
      <alignment horizontal="center" vertical="center"/>
    </xf>
    <xf numFmtId="0" fontId="138" fillId="0" borderId="3" xfId="0" applyFont="1" applyBorder="1" applyAlignment="1">
      <alignment horizontal="right" vertical="center"/>
    </xf>
    <xf numFmtId="0" fontId="139" fillId="0" borderId="3" xfId="0" applyFont="1" applyBorder="1" applyAlignment="1">
      <alignment horizontal="right" vertical="center"/>
    </xf>
    <xf numFmtId="0" fontId="144" fillId="0" borderId="3" xfId="0" applyFont="1" applyBorder="1" applyAlignment="1">
      <alignment horizontal="right" vertical="center"/>
    </xf>
    <xf numFmtId="0" fontId="145" fillId="0" borderId="3" xfId="0" applyFont="1" applyBorder="1" applyAlignment="1">
      <alignment horizontal="right" vertical="center"/>
    </xf>
    <xf numFmtId="0" fontId="146" fillId="0" borderId="3" xfId="0" applyFont="1" applyBorder="1" applyAlignment="1">
      <alignment horizontal="right" vertical="center"/>
    </xf>
    <xf numFmtId="0" fontId="147" fillId="0" borderId="3" xfId="0" applyFont="1" applyBorder="1" applyAlignment="1">
      <alignment horizontal="right" vertical="center"/>
    </xf>
    <xf numFmtId="0" fontId="148" fillId="0" borderId="3" xfId="0" applyFont="1" applyBorder="1" applyAlignment="1">
      <alignment horizontal="right" vertical="center"/>
    </xf>
    <xf numFmtId="0" fontId="149" fillId="0" borderId="3" xfId="0" applyFont="1" applyBorder="1" applyAlignment="1">
      <alignment horizontal="right" vertical="center"/>
    </xf>
    <xf numFmtId="14" fontId="150" fillId="0" borderId="3" xfId="0" applyNumberFormat="1" applyFont="1" applyBorder="1" applyAlignment="1">
      <alignment horizontal="center" vertical="center"/>
    </xf>
    <xf numFmtId="0" fontId="151" fillId="0" borderId="3" xfId="0" applyFont="1" applyBorder="1" applyAlignment="1">
      <alignment horizontal="right" vertical="center"/>
    </xf>
    <xf numFmtId="0" fontId="152" fillId="0" borderId="3" xfId="0" applyFont="1" applyBorder="1" applyAlignment="1">
      <alignment horizontal="right" vertical="center"/>
    </xf>
    <xf numFmtId="0" fontId="157" fillId="0" borderId="3" xfId="0" applyFont="1" applyBorder="1" applyAlignment="1">
      <alignment horizontal="right" vertical="center"/>
    </xf>
    <xf numFmtId="0" fontId="158" fillId="0" borderId="3" xfId="0" applyFont="1" applyBorder="1" applyAlignment="1">
      <alignment horizontal="right" vertical="center"/>
    </xf>
    <xf numFmtId="0" fontId="159" fillId="0" borderId="3" xfId="0" applyFont="1" applyBorder="1" applyAlignment="1">
      <alignment horizontal="right" vertical="center"/>
    </xf>
    <xf numFmtId="0" fontId="160" fillId="0" borderId="3" xfId="0" applyFont="1" applyBorder="1" applyAlignment="1">
      <alignment horizontal="right" vertical="center"/>
    </xf>
    <xf numFmtId="0" fontId="161" fillId="0" borderId="3" xfId="0" applyFont="1" applyBorder="1" applyAlignment="1">
      <alignment horizontal="right" vertical="center"/>
    </xf>
    <xf numFmtId="0" fontId="162" fillId="0" borderId="3" xfId="0" applyFont="1" applyBorder="1" applyAlignment="1">
      <alignment horizontal="right" vertical="center"/>
    </xf>
    <xf numFmtId="14" fontId="163" fillId="0" borderId="3" xfId="0" applyNumberFormat="1" applyFont="1" applyBorder="1" applyAlignment="1">
      <alignment horizontal="center" vertical="center"/>
    </xf>
    <xf numFmtId="0" fontId="164" fillId="0" borderId="3" xfId="0" applyFont="1" applyBorder="1" applyAlignment="1">
      <alignment horizontal="right" vertical="center"/>
    </xf>
    <xf numFmtId="0" fontId="165" fillId="0" borderId="3" xfId="0" applyFont="1" applyBorder="1" applyAlignment="1">
      <alignment horizontal="right" vertical="center"/>
    </xf>
    <xf numFmtId="0" fontId="169" fillId="0" borderId="3" xfId="0" applyFont="1" applyBorder="1" applyAlignment="1">
      <alignment horizontal="right" vertical="center"/>
    </xf>
    <xf numFmtId="0" fontId="170" fillId="0" borderId="3" xfId="0" applyFont="1" applyBorder="1" applyAlignment="1">
      <alignment horizontal="right" vertical="center"/>
    </xf>
    <xf numFmtId="0" fontId="171" fillId="0" borderId="3" xfId="0" applyFont="1" applyBorder="1" applyAlignment="1">
      <alignment horizontal="right" vertical="center"/>
    </xf>
    <xf numFmtId="0" fontId="172" fillId="0" borderId="3" xfId="0" applyFont="1" applyBorder="1" applyAlignment="1">
      <alignment horizontal="right" vertical="center"/>
    </xf>
    <xf numFmtId="0" fontId="173" fillId="0" borderId="3" xfId="0" applyFont="1" applyBorder="1" applyAlignment="1">
      <alignment horizontal="right" vertical="center"/>
    </xf>
    <xf numFmtId="0" fontId="174" fillId="0" borderId="3" xfId="0" applyFont="1" applyBorder="1" applyAlignment="1">
      <alignment horizontal="right" vertical="center"/>
    </xf>
    <xf numFmtId="14" fontId="175" fillId="0" borderId="3" xfId="0" applyNumberFormat="1" applyFont="1" applyBorder="1" applyAlignment="1">
      <alignment horizontal="center" vertical="center"/>
    </xf>
    <xf numFmtId="0" fontId="176" fillId="0" borderId="3" xfId="0" applyFont="1" applyBorder="1" applyAlignment="1">
      <alignment horizontal="right" vertical="center"/>
    </xf>
    <xf numFmtId="0" fontId="177" fillId="0" borderId="3" xfId="0" applyFont="1" applyBorder="1" applyAlignment="1">
      <alignment horizontal="right" vertical="center"/>
    </xf>
    <xf numFmtId="0" fontId="182" fillId="0" borderId="3" xfId="0" applyFont="1" applyBorder="1" applyAlignment="1">
      <alignment horizontal="right" vertical="center"/>
    </xf>
    <xf numFmtId="0" fontId="183" fillId="0" borderId="3" xfId="0" applyFont="1" applyBorder="1" applyAlignment="1">
      <alignment horizontal="right" vertical="center"/>
    </xf>
    <xf numFmtId="0" fontId="184" fillId="0" borderId="3" xfId="0" applyFont="1" applyBorder="1" applyAlignment="1">
      <alignment horizontal="right" vertical="center"/>
    </xf>
    <xf numFmtId="0" fontId="185" fillId="0" borderId="3" xfId="0" applyFont="1" applyBorder="1" applyAlignment="1">
      <alignment horizontal="right" vertical="center"/>
    </xf>
    <xf numFmtId="0" fontId="186" fillId="0" borderId="3" xfId="0" applyFont="1" applyBorder="1" applyAlignment="1">
      <alignment horizontal="right" vertical="center"/>
    </xf>
    <xf numFmtId="0" fontId="187" fillId="0" borderId="3" xfId="0" applyFont="1" applyBorder="1" applyAlignment="1">
      <alignment horizontal="right" vertical="center"/>
    </xf>
    <xf numFmtId="14" fontId="188" fillId="0" borderId="3" xfId="0" applyNumberFormat="1" applyFont="1" applyBorder="1" applyAlignment="1">
      <alignment horizontal="center" vertical="center"/>
    </xf>
    <xf numFmtId="0" fontId="189" fillId="0" borderId="3" xfId="0" applyFont="1" applyBorder="1" applyAlignment="1">
      <alignment horizontal="right" vertical="center"/>
    </xf>
    <xf numFmtId="0" fontId="190" fillId="0" borderId="3" xfId="0" applyFont="1" applyBorder="1" applyAlignment="1">
      <alignment horizontal="right" vertical="center"/>
    </xf>
    <xf numFmtId="0" fontId="195" fillId="0" borderId="3" xfId="0" applyFont="1" applyBorder="1" applyAlignment="1">
      <alignment horizontal="right" vertical="center"/>
    </xf>
    <xf numFmtId="0" fontId="196" fillId="0" borderId="3" xfId="0" applyFont="1" applyBorder="1" applyAlignment="1">
      <alignment horizontal="right" vertical="center"/>
    </xf>
    <xf numFmtId="0" fontId="197" fillId="0" borderId="3" xfId="0" applyFont="1" applyBorder="1" applyAlignment="1">
      <alignment horizontal="right" vertical="center"/>
    </xf>
    <xf numFmtId="0" fontId="198" fillId="0" borderId="3" xfId="0" applyFont="1" applyBorder="1" applyAlignment="1">
      <alignment horizontal="right" vertical="center"/>
    </xf>
    <xf numFmtId="0" fontId="199" fillId="0" borderId="3" xfId="0" applyFont="1" applyBorder="1" applyAlignment="1">
      <alignment horizontal="right" vertical="center"/>
    </xf>
    <xf numFmtId="0" fontId="200" fillId="0" borderId="3" xfId="0" applyFont="1" applyBorder="1" applyAlignment="1">
      <alignment horizontal="right" vertical="center"/>
    </xf>
    <xf numFmtId="14" fontId="201" fillId="0" borderId="3" xfId="0" applyNumberFormat="1" applyFont="1" applyBorder="1" applyAlignment="1">
      <alignment horizontal="center" vertical="center"/>
    </xf>
    <xf numFmtId="0" fontId="202" fillId="0" borderId="3" xfId="0" applyFont="1" applyBorder="1" applyAlignment="1">
      <alignment horizontal="right" vertical="center"/>
    </xf>
    <xf numFmtId="0" fontId="203" fillId="0" borderId="3" xfId="0" applyFont="1" applyBorder="1" applyAlignment="1">
      <alignment horizontal="right" vertical="center"/>
    </xf>
    <xf numFmtId="0" fontId="208" fillId="0" borderId="3" xfId="0" applyFont="1" applyBorder="1" applyAlignment="1">
      <alignment horizontal="right" vertical="center"/>
    </xf>
    <xf numFmtId="0" fontId="209" fillId="0" borderId="3" xfId="0" applyFont="1" applyBorder="1" applyAlignment="1">
      <alignment horizontal="right" vertical="center"/>
    </xf>
    <xf numFmtId="0" fontId="210" fillId="0" borderId="3" xfId="0" applyFont="1" applyBorder="1" applyAlignment="1">
      <alignment horizontal="right" vertical="center"/>
    </xf>
    <xf numFmtId="0" fontId="211" fillId="0" borderId="3" xfId="0" applyFont="1" applyBorder="1" applyAlignment="1">
      <alignment horizontal="right" vertical="center"/>
    </xf>
    <xf numFmtId="0" fontId="212" fillId="0" borderId="3" xfId="0" applyFont="1" applyBorder="1" applyAlignment="1">
      <alignment horizontal="right" vertical="center"/>
    </xf>
    <xf numFmtId="0" fontId="213" fillId="0" borderId="3" xfId="0" applyFont="1" applyBorder="1" applyAlignment="1">
      <alignment horizontal="right" vertical="center"/>
    </xf>
    <xf numFmtId="14" fontId="214" fillId="0" borderId="3" xfId="0" applyNumberFormat="1" applyFont="1" applyBorder="1" applyAlignment="1">
      <alignment horizontal="center" vertical="center"/>
    </xf>
    <xf numFmtId="0" fontId="215" fillId="0" borderId="3" xfId="0" applyFont="1" applyBorder="1" applyAlignment="1">
      <alignment horizontal="right" vertical="center"/>
    </xf>
    <xf numFmtId="0" fontId="216" fillId="0" borderId="3" xfId="0" applyFont="1" applyBorder="1" applyAlignment="1">
      <alignment horizontal="right" vertical="center"/>
    </xf>
    <xf numFmtId="0" fontId="221" fillId="0" borderId="3" xfId="0" applyFont="1" applyBorder="1" applyAlignment="1">
      <alignment horizontal="right" vertical="center"/>
    </xf>
    <xf numFmtId="0" fontId="222" fillId="0" borderId="3" xfId="0" applyFont="1" applyBorder="1" applyAlignment="1">
      <alignment horizontal="right" vertical="center"/>
    </xf>
    <xf numFmtId="0" fontId="223" fillId="0" borderId="3" xfId="0" applyFont="1" applyBorder="1" applyAlignment="1">
      <alignment horizontal="right" vertical="center"/>
    </xf>
    <xf numFmtId="0" fontId="224" fillId="0" borderId="3" xfId="0" applyFont="1" applyBorder="1" applyAlignment="1">
      <alignment horizontal="right" vertical="center"/>
    </xf>
    <xf numFmtId="0" fontId="225" fillId="0" borderId="3" xfId="0" applyFont="1" applyBorder="1" applyAlignment="1">
      <alignment horizontal="right" vertical="center"/>
    </xf>
    <xf numFmtId="0" fontId="226" fillId="0" borderId="3" xfId="0" applyFont="1" applyBorder="1" applyAlignment="1">
      <alignment horizontal="right" vertical="center"/>
    </xf>
    <xf numFmtId="14" fontId="227" fillId="0" borderId="3" xfId="0" applyNumberFormat="1" applyFont="1" applyBorder="1" applyAlignment="1">
      <alignment horizontal="center" vertical="center"/>
    </xf>
    <xf numFmtId="0" fontId="228" fillId="0" borderId="3" xfId="0" applyFont="1" applyBorder="1" applyAlignment="1">
      <alignment horizontal="right" vertical="center"/>
    </xf>
    <xf numFmtId="0" fontId="229" fillId="0" borderId="3" xfId="0" applyFont="1" applyBorder="1" applyAlignment="1">
      <alignment horizontal="right" vertical="center"/>
    </xf>
    <xf numFmtId="0" fontId="234" fillId="0" borderId="3" xfId="0" applyFont="1" applyBorder="1" applyAlignment="1">
      <alignment horizontal="right" vertical="center"/>
    </xf>
    <xf numFmtId="0" fontId="235" fillId="0" borderId="3" xfId="0" applyFont="1" applyBorder="1" applyAlignment="1">
      <alignment horizontal="right" vertical="center"/>
    </xf>
    <xf numFmtId="0" fontId="236" fillId="0" borderId="3" xfId="0" applyFont="1" applyBorder="1" applyAlignment="1">
      <alignment horizontal="right" vertical="center"/>
    </xf>
    <xf numFmtId="0" fontId="237" fillId="0" borderId="3" xfId="0" applyFont="1" applyBorder="1" applyAlignment="1">
      <alignment horizontal="right" vertical="center"/>
    </xf>
    <xf numFmtId="0" fontId="238" fillId="0" borderId="3" xfId="0" applyFont="1" applyBorder="1" applyAlignment="1">
      <alignment horizontal="right" vertical="center"/>
    </xf>
    <xf numFmtId="0" fontId="239" fillId="0" borderId="3" xfId="0" applyFont="1" applyBorder="1" applyAlignment="1">
      <alignment horizontal="right" vertical="center"/>
    </xf>
    <xf numFmtId="14" fontId="240" fillId="0" borderId="3" xfId="0" applyNumberFormat="1" applyFont="1" applyBorder="1" applyAlignment="1">
      <alignment horizontal="center" vertical="center"/>
    </xf>
    <xf numFmtId="0" fontId="241" fillId="0" borderId="3" xfId="0" applyFont="1" applyBorder="1" applyAlignment="1">
      <alignment horizontal="right" vertical="center"/>
    </xf>
    <xf numFmtId="0" fontId="242" fillId="0" borderId="3" xfId="0" applyFont="1" applyBorder="1" applyAlignment="1">
      <alignment horizontal="right" vertical="center"/>
    </xf>
    <xf numFmtId="0" fontId="247" fillId="0" borderId="3" xfId="0" applyFont="1" applyBorder="1" applyAlignment="1">
      <alignment horizontal="right" vertical="center"/>
    </xf>
    <xf numFmtId="0" fontId="248" fillId="0" borderId="3" xfId="0" applyFont="1" applyBorder="1" applyAlignment="1">
      <alignment horizontal="right" vertical="center"/>
    </xf>
    <xf numFmtId="0" fontId="249" fillId="0" borderId="3" xfId="0" applyFont="1" applyBorder="1" applyAlignment="1">
      <alignment horizontal="right" vertical="center"/>
    </xf>
    <xf numFmtId="0" fontId="250" fillId="0" borderId="3" xfId="0" applyFont="1" applyBorder="1" applyAlignment="1">
      <alignment horizontal="right" vertical="center"/>
    </xf>
    <xf numFmtId="0" fontId="251" fillId="0" borderId="3" xfId="0" applyFont="1" applyBorder="1" applyAlignment="1">
      <alignment horizontal="right" vertical="center"/>
    </xf>
    <xf numFmtId="0" fontId="252" fillId="0" borderId="3" xfId="0" applyFont="1" applyBorder="1" applyAlignment="1">
      <alignment horizontal="right" vertical="center"/>
    </xf>
    <xf numFmtId="14" fontId="253" fillId="0" borderId="3" xfId="0" applyNumberFormat="1" applyFont="1" applyBorder="1" applyAlignment="1">
      <alignment horizontal="center" vertical="center"/>
    </xf>
    <xf numFmtId="0" fontId="254" fillId="0" borderId="3" xfId="0" applyFont="1" applyBorder="1" applyAlignment="1">
      <alignment horizontal="right" vertical="center"/>
    </xf>
    <xf numFmtId="0" fontId="255" fillId="0" borderId="3" xfId="0" applyFont="1" applyBorder="1" applyAlignment="1">
      <alignment horizontal="right" vertical="center"/>
    </xf>
    <xf numFmtId="0" fontId="260" fillId="0" borderId="3" xfId="0" applyFont="1" applyBorder="1" applyAlignment="1">
      <alignment horizontal="right" vertical="center"/>
    </xf>
    <xf numFmtId="0" fontId="261" fillId="0" borderId="3" xfId="0" applyFont="1" applyBorder="1" applyAlignment="1">
      <alignment horizontal="right" vertical="center"/>
    </xf>
    <xf numFmtId="0" fontId="262" fillId="0" borderId="3" xfId="0" applyFont="1" applyBorder="1" applyAlignment="1">
      <alignment horizontal="right" vertical="center"/>
    </xf>
    <xf numFmtId="0" fontId="263" fillId="0" borderId="3" xfId="0" applyFont="1" applyBorder="1" applyAlignment="1">
      <alignment horizontal="right" vertical="center"/>
    </xf>
    <xf numFmtId="0" fontId="264" fillId="0" borderId="3" xfId="0" applyFont="1" applyBorder="1" applyAlignment="1">
      <alignment horizontal="right" vertical="center"/>
    </xf>
    <xf numFmtId="0" fontId="265" fillId="0" borderId="3" xfId="0" applyFont="1" applyBorder="1" applyAlignment="1">
      <alignment horizontal="right" vertical="center"/>
    </xf>
    <xf numFmtId="14" fontId="266" fillId="0" borderId="3" xfId="0" applyNumberFormat="1" applyFont="1" applyBorder="1" applyAlignment="1">
      <alignment horizontal="center" vertical="center"/>
    </xf>
    <xf numFmtId="0" fontId="267" fillId="0" borderId="3" xfId="0" applyFont="1" applyBorder="1" applyAlignment="1">
      <alignment horizontal="right" vertical="center"/>
    </xf>
    <xf numFmtId="0" fontId="268" fillId="0" borderId="3" xfId="0" applyFont="1" applyBorder="1" applyAlignment="1">
      <alignment horizontal="right" vertical="center"/>
    </xf>
    <xf numFmtId="0" fontId="273" fillId="0" borderId="3" xfId="0" applyFont="1" applyBorder="1" applyAlignment="1">
      <alignment horizontal="right" vertical="center"/>
    </xf>
    <xf numFmtId="0" fontId="274" fillId="0" borderId="3" xfId="0" applyFont="1" applyBorder="1" applyAlignment="1">
      <alignment horizontal="right" vertical="center"/>
    </xf>
    <xf numFmtId="0" fontId="275" fillId="0" borderId="3" xfId="0" applyFont="1" applyBorder="1" applyAlignment="1">
      <alignment horizontal="right" vertical="center"/>
    </xf>
    <xf numFmtId="0" fontId="276" fillId="0" borderId="3" xfId="0" applyFont="1" applyBorder="1" applyAlignment="1">
      <alignment horizontal="right" vertical="center"/>
    </xf>
    <xf numFmtId="0" fontId="277" fillId="0" borderId="3" xfId="0" applyFont="1" applyBorder="1" applyAlignment="1">
      <alignment horizontal="right" vertical="center"/>
    </xf>
    <xf numFmtId="0" fontId="278" fillId="0" borderId="3" xfId="0" applyFont="1" applyBorder="1" applyAlignment="1">
      <alignment horizontal="right" vertical="center"/>
    </xf>
    <xf numFmtId="14" fontId="279" fillId="0" borderId="3" xfId="0" applyNumberFormat="1" applyFont="1" applyBorder="1" applyAlignment="1">
      <alignment horizontal="center" vertical="center"/>
    </xf>
    <xf numFmtId="0" fontId="280" fillId="0" borderId="3" xfId="0" applyFont="1" applyBorder="1" applyAlignment="1">
      <alignment horizontal="right" vertical="center"/>
    </xf>
    <xf numFmtId="0" fontId="281" fillId="0" borderId="3" xfId="0" applyFont="1" applyBorder="1" applyAlignment="1">
      <alignment horizontal="right" vertical="center"/>
    </xf>
    <xf numFmtId="0" fontId="285" fillId="0" borderId="3" xfId="0" applyFont="1" applyBorder="1" applyAlignment="1">
      <alignment horizontal="right" vertical="center"/>
    </xf>
    <xf numFmtId="0" fontId="286" fillId="0" borderId="3" xfId="0" applyFont="1" applyBorder="1" applyAlignment="1">
      <alignment horizontal="right" vertical="center"/>
    </xf>
    <xf numFmtId="0" fontId="287" fillId="0" borderId="3" xfId="0" applyFont="1" applyBorder="1" applyAlignment="1">
      <alignment horizontal="right" vertical="center"/>
    </xf>
    <xf numFmtId="0" fontId="288" fillId="0" borderId="3" xfId="0" applyFont="1" applyBorder="1" applyAlignment="1">
      <alignment horizontal="right" vertical="center"/>
    </xf>
    <xf numFmtId="0" fontId="289" fillId="0" borderId="3" xfId="0" applyFont="1" applyBorder="1" applyAlignment="1">
      <alignment horizontal="right" vertical="center"/>
    </xf>
    <xf numFmtId="14" fontId="290" fillId="0" borderId="3" xfId="0" applyNumberFormat="1" applyFont="1" applyBorder="1" applyAlignment="1">
      <alignment horizontal="center" vertical="center"/>
    </xf>
    <xf numFmtId="0" fontId="291" fillId="0" borderId="3" xfId="0" applyFont="1" applyBorder="1" applyAlignment="1">
      <alignment horizontal="right" vertical="center"/>
    </xf>
    <xf numFmtId="0" fontId="292" fillId="0" borderId="3" xfId="0" applyFont="1" applyBorder="1" applyAlignment="1">
      <alignment horizontal="right" vertical="center"/>
    </xf>
    <xf numFmtId="0" fontId="297" fillId="0" borderId="3" xfId="0" applyFont="1" applyBorder="1" applyAlignment="1">
      <alignment horizontal="right" vertical="center"/>
    </xf>
    <xf numFmtId="0" fontId="298" fillId="0" borderId="3" xfId="0" applyFont="1" applyBorder="1" applyAlignment="1">
      <alignment horizontal="right" vertical="center"/>
    </xf>
    <xf numFmtId="0" fontId="299" fillId="0" borderId="3" xfId="0" applyFont="1" applyBorder="1" applyAlignment="1">
      <alignment horizontal="right" vertical="center"/>
    </xf>
    <xf numFmtId="0" fontId="300" fillId="0" borderId="3" xfId="0" applyFont="1" applyBorder="1" applyAlignment="1">
      <alignment horizontal="right" vertical="center"/>
    </xf>
    <xf numFmtId="0" fontId="301" fillId="0" borderId="3" xfId="0" applyFont="1" applyBorder="1" applyAlignment="1">
      <alignment horizontal="right" vertical="center"/>
    </xf>
    <xf numFmtId="0" fontId="302" fillId="0" borderId="3" xfId="0" applyFont="1" applyBorder="1" applyAlignment="1">
      <alignment horizontal="right" vertical="center"/>
    </xf>
    <xf numFmtId="14" fontId="303" fillId="0" borderId="3" xfId="0" applyNumberFormat="1" applyFont="1" applyBorder="1" applyAlignment="1">
      <alignment horizontal="center" vertical="center"/>
    </xf>
    <xf numFmtId="0" fontId="304" fillId="0" borderId="3" xfId="0" applyFont="1" applyBorder="1" applyAlignment="1">
      <alignment horizontal="right" vertical="center"/>
    </xf>
    <xf numFmtId="0" fontId="305" fillId="0" borderId="3" xfId="0" applyFont="1" applyBorder="1" applyAlignment="1">
      <alignment horizontal="right" vertical="center"/>
    </xf>
    <xf numFmtId="0" fontId="310" fillId="0" borderId="3" xfId="0" applyFont="1" applyBorder="1" applyAlignment="1">
      <alignment horizontal="right" vertical="center"/>
    </xf>
    <xf numFmtId="0" fontId="311" fillId="0" borderId="3" xfId="0" applyFont="1" applyBorder="1" applyAlignment="1">
      <alignment horizontal="right" vertical="center"/>
    </xf>
    <xf numFmtId="0" fontId="312" fillId="0" borderId="3" xfId="0" applyFont="1" applyBorder="1" applyAlignment="1">
      <alignment horizontal="right" vertical="center"/>
    </xf>
    <xf numFmtId="0" fontId="313" fillId="0" borderId="3" xfId="0" applyFont="1" applyBorder="1" applyAlignment="1">
      <alignment horizontal="right" vertical="center"/>
    </xf>
    <xf numFmtId="0" fontId="314" fillId="0" borderId="3" xfId="0" applyFont="1" applyBorder="1" applyAlignment="1">
      <alignment horizontal="right" vertical="center"/>
    </xf>
    <xf numFmtId="0" fontId="315" fillId="0" borderId="3" xfId="0" applyFont="1" applyBorder="1" applyAlignment="1">
      <alignment horizontal="right" vertical="center"/>
    </xf>
    <xf numFmtId="14" fontId="316" fillId="0" borderId="3" xfId="0" applyNumberFormat="1" applyFont="1" applyBorder="1" applyAlignment="1">
      <alignment horizontal="center" vertical="center"/>
    </xf>
    <xf numFmtId="0" fontId="317" fillId="0" borderId="3" xfId="0" applyFont="1" applyBorder="1" applyAlignment="1">
      <alignment horizontal="right" vertical="center"/>
    </xf>
    <xf numFmtId="0" fontId="318" fillId="0" borderId="3" xfId="0" applyFont="1" applyBorder="1" applyAlignment="1">
      <alignment horizontal="right" vertical="center"/>
    </xf>
    <xf numFmtId="0" fontId="323" fillId="0" borderId="3" xfId="0" applyFont="1" applyBorder="1" applyAlignment="1">
      <alignment horizontal="right" vertical="center"/>
    </xf>
    <xf numFmtId="0" fontId="324" fillId="0" borderId="3" xfId="0" applyFont="1" applyBorder="1" applyAlignment="1">
      <alignment horizontal="right" vertical="center"/>
    </xf>
    <xf numFmtId="0" fontId="325" fillId="0" borderId="3" xfId="0" applyFont="1" applyBorder="1" applyAlignment="1">
      <alignment horizontal="right" vertical="center"/>
    </xf>
    <xf numFmtId="0" fontId="326" fillId="0" borderId="3" xfId="0" applyFont="1" applyBorder="1" applyAlignment="1">
      <alignment horizontal="right" vertical="center"/>
    </xf>
    <xf numFmtId="0" fontId="327" fillId="0" borderId="3" xfId="0" applyFont="1" applyBorder="1" applyAlignment="1">
      <alignment horizontal="right" vertical="center"/>
    </xf>
    <xf numFmtId="0" fontId="328" fillId="0" borderId="3" xfId="0" applyFont="1" applyBorder="1" applyAlignment="1">
      <alignment horizontal="right" vertical="center"/>
    </xf>
    <xf numFmtId="14" fontId="329" fillId="0" borderId="3" xfId="0" applyNumberFormat="1" applyFont="1" applyBorder="1" applyAlignment="1">
      <alignment horizontal="center" vertical="center"/>
    </xf>
    <xf numFmtId="0" fontId="330" fillId="0" borderId="3" xfId="0" applyFont="1" applyBorder="1" applyAlignment="1">
      <alignment horizontal="right" vertical="center"/>
    </xf>
    <xf numFmtId="0" fontId="331" fillId="0" borderId="3" xfId="0" applyFont="1" applyBorder="1" applyAlignment="1">
      <alignment horizontal="right" vertical="center"/>
    </xf>
    <xf numFmtId="0" fontId="336" fillId="0" borderId="3" xfId="0" applyFont="1" applyBorder="1" applyAlignment="1">
      <alignment horizontal="right" vertical="center"/>
    </xf>
    <xf numFmtId="0" fontId="337" fillId="0" borderId="3" xfId="0" applyFont="1" applyBorder="1" applyAlignment="1">
      <alignment horizontal="right" vertical="center"/>
    </xf>
    <xf numFmtId="0" fontId="338" fillId="0" borderId="3" xfId="0" applyFont="1" applyBorder="1" applyAlignment="1">
      <alignment horizontal="right" vertical="center"/>
    </xf>
    <xf numFmtId="0" fontId="339" fillId="0" borderId="3" xfId="0" applyFont="1" applyBorder="1" applyAlignment="1">
      <alignment horizontal="right" vertical="center"/>
    </xf>
    <xf numFmtId="0" fontId="340" fillId="0" borderId="3" xfId="0" applyFont="1" applyBorder="1" applyAlignment="1">
      <alignment horizontal="right" vertical="center"/>
    </xf>
    <xf numFmtId="0" fontId="341" fillId="0" borderId="3" xfId="0" applyFont="1" applyBorder="1" applyAlignment="1">
      <alignment horizontal="right" vertical="center"/>
    </xf>
    <xf numFmtId="14" fontId="342" fillId="0" borderId="3" xfId="0" applyNumberFormat="1" applyFont="1" applyBorder="1" applyAlignment="1">
      <alignment horizontal="center" vertical="center"/>
    </xf>
    <xf numFmtId="0" fontId="343" fillId="0" borderId="3" xfId="0" applyFont="1" applyBorder="1" applyAlignment="1">
      <alignment horizontal="right" vertical="center"/>
    </xf>
    <xf numFmtId="0" fontId="344" fillId="0" borderId="3" xfId="0" applyFont="1" applyBorder="1" applyAlignment="1">
      <alignment horizontal="right" vertical="center"/>
    </xf>
    <xf numFmtId="0" fontId="349" fillId="0" borderId="3" xfId="0" applyFont="1" applyBorder="1" applyAlignment="1">
      <alignment horizontal="right" vertical="center"/>
    </xf>
    <xf numFmtId="0" fontId="350" fillId="0" borderId="3" xfId="0" applyFont="1" applyBorder="1" applyAlignment="1">
      <alignment horizontal="right" vertical="center"/>
    </xf>
    <xf numFmtId="0" fontId="351" fillId="0" borderId="3" xfId="0" applyFont="1" applyBorder="1" applyAlignment="1">
      <alignment horizontal="right" vertical="center"/>
    </xf>
    <xf numFmtId="0" fontId="352" fillId="0" borderId="3" xfId="0" applyFont="1" applyBorder="1" applyAlignment="1">
      <alignment horizontal="right" vertical="center"/>
    </xf>
    <xf numFmtId="14" fontId="353" fillId="0" borderId="3" xfId="0" applyNumberFormat="1" applyFont="1" applyBorder="1" applyAlignment="1">
      <alignment horizontal="center" vertical="center"/>
    </xf>
    <xf numFmtId="0" fontId="354" fillId="0" borderId="3" xfId="0" applyFont="1" applyBorder="1" applyAlignment="1">
      <alignment horizontal="right" vertical="center"/>
    </xf>
    <xf numFmtId="0" fontId="355" fillId="0" borderId="3" xfId="0" applyFont="1" applyBorder="1" applyAlignment="1">
      <alignment horizontal="right" vertical="center"/>
    </xf>
    <xf numFmtId="0" fontId="360" fillId="0" borderId="3" xfId="0" applyFont="1" applyBorder="1" applyAlignment="1">
      <alignment horizontal="right" vertical="center"/>
    </xf>
    <xf numFmtId="0" fontId="361" fillId="0" borderId="3" xfId="0" applyFont="1" applyBorder="1" applyAlignment="1">
      <alignment horizontal="right" vertical="center"/>
    </xf>
    <xf numFmtId="0" fontId="362" fillId="0" borderId="3" xfId="0" applyFont="1" applyBorder="1" applyAlignment="1">
      <alignment horizontal="right" vertical="center"/>
    </xf>
    <xf numFmtId="0" fontId="363" fillId="0" borderId="3" xfId="0" applyFont="1" applyBorder="1" applyAlignment="1">
      <alignment horizontal="right" vertical="center"/>
    </xf>
    <xf numFmtId="0" fontId="364" fillId="0" borderId="3" xfId="0" applyFont="1" applyBorder="1" applyAlignment="1">
      <alignment horizontal="right" vertical="center"/>
    </xf>
    <xf numFmtId="0" fontId="6" fillId="4" borderId="9" xfId="0" applyFont="1" applyFill="1" applyBorder="1" applyAlignment="1">
      <alignment vertical="center"/>
    </xf>
    <xf numFmtId="0" fontId="6" fillId="4" borderId="9" xfId="0" applyFont="1" applyFill="1" applyBorder="1" applyAlignment="1">
      <alignment horizontal="right" vertical="center" indent="2"/>
    </xf>
    <xf numFmtId="0" fontId="365" fillId="0" borderId="3" xfId="0" applyFont="1" applyBorder="1" applyAlignment="1">
      <alignment horizontal="right" vertical="center"/>
    </xf>
    <xf numFmtId="14" fontId="366" fillId="0" borderId="3" xfId="0" applyNumberFormat="1" applyFont="1" applyBorder="1" applyAlignment="1">
      <alignment horizontal="center" vertical="center"/>
    </xf>
    <xf numFmtId="0" fontId="367" fillId="0" borderId="3" xfId="0" applyFont="1" applyBorder="1" applyAlignment="1">
      <alignment horizontal="right" vertical="center"/>
    </xf>
    <xf numFmtId="0" fontId="368" fillId="0" borderId="3" xfId="0" applyFont="1" applyBorder="1" applyAlignment="1">
      <alignment horizontal="right" vertical="center"/>
    </xf>
    <xf numFmtId="0" fontId="373" fillId="0" borderId="3" xfId="0" applyFont="1" applyBorder="1" applyAlignment="1">
      <alignment horizontal="right" vertical="center"/>
    </xf>
    <xf numFmtId="0" fontId="374" fillId="0" borderId="3" xfId="0" applyFont="1" applyBorder="1" applyAlignment="1">
      <alignment horizontal="right" vertical="center"/>
    </xf>
    <xf numFmtId="0" fontId="375" fillId="0" borderId="3" xfId="0" applyFont="1" applyBorder="1" applyAlignment="1">
      <alignment horizontal="right" vertical="center"/>
    </xf>
    <xf numFmtId="0" fontId="376" fillId="0" borderId="3" xfId="0" applyFont="1" applyBorder="1" applyAlignment="1">
      <alignment horizontal="right" vertical="center"/>
    </xf>
    <xf numFmtId="0" fontId="377" fillId="0" borderId="3" xfId="0" applyFont="1" applyBorder="1" applyAlignment="1">
      <alignment horizontal="right" vertical="center"/>
    </xf>
    <xf numFmtId="0" fontId="378" fillId="0" borderId="3" xfId="0" applyFont="1" applyBorder="1" applyAlignment="1">
      <alignment horizontal="right" vertical="center"/>
    </xf>
    <xf numFmtId="14" fontId="379" fillId="0" borderId="3" xfId="0" applyNumberFormat="1" applyFont="1" applyBorder="1" applyAlignment="1">
      <alignment horizontal="center" vertical="center"/>
    </xf>
    <xf numFmtId="0" fontId="380" fillId="0" borderId="3" xfId="0" applyFont="1" applyBorder="1" applyAlignment="1">
      <alignment horizontal="right" vertical="center"/>
    </xf>
    <xf numFmtId="0" fontId="381" fillId="0" borderId="3" xfId="0" applyFont="1" applyBorder="1" applyAlignment="1">
      <alignment horizontal="right" vertical="center"/>
    </xf>
    <xf numFmtId="0" fontId="386" fillId="0" borderId="3" xfId="0" applyFont="1" applyBorder="1" applyAlignment="1">
      <alignment horizontal="right" vertical="center"/>
    </xf>
    <xf numFmtId="0" fontId="387" fillId="0" borderId="3" xfId="0" applyFont="1" applyBorder="1" applyAlignment="1">
      <alignment horizontal="right" vertical="center"/>
    </xf>
    <xf numFmtId="0" fontId="388" fillId="0" borderId="3" xfId="0" applyFont="1" applyBorder="1" applyAlignment="1">
      <alignment horizontal="right" vertical="center"/>
    </xf>
    <xf numFmtId="0" fontId="389" fillId="0" borderId="3" xfId="0" applyFont="1" applyBorder="1" applyAlignment="1">
      <alignment horizontal="right" vertical="center"/>
    </xf>
    <xf numFmtId="14" fontId="390" fillId="0" borderId="3" xfId="0" applyNumberFormat="1" applyFont="1" applyBorder="1" applyAlignment="1">
      <alignment horizontal="center" vertical="center"/>
    </xf>
    <xf numFmtId="0" fontId="391" fillId="0" borderId="3" xfId="0" applyFont="1" applyBorder="1" applyAlignment="1">
      <alignment horizontal="right" vertical="center"/>
    </xf>
    <xf numFmtId="0" fontId="392" fillId="0" borderId="3" xfId="0" applyFont="1" applyBorder="1" applyAlignment="1">
      <alignment horizontal="right" vertical="center"/>
    </xf>
    <xf numFmtId="0" fontId="397" fillId="0" borderId="3" xfId="0" applyFont="1" applyBorder="1" applyAlignment="1">
      <alignment horizontal="right" vertical="center"/>
    </xf>
    <xf numFmtId="0" fontId="398" fillId="0" borderId="3" xfId="0" applyFont="1" applyBorder="1" applyAlignment="1">
      <alignment horizontal="right" vertical="center"/>
    </xf>
    <xf numFmtId="0" fontId="399" fillId="0" borderId="3" xfId="0" applyFont="1" applyBorder="1" applyAlignment="1">
      <alignment horizontal="right" vertical="center"/>
    </xf>
    <xf numFmtId="0" fontId="400" fillId="0" borderId="3" xfId="0" applyFont="1" applyBorder="1" applyAlignment="1">
      <alignment horizontal="right" vertical="center"/>
    </xf>
    <xf numFmtId="0" fontId="401" fillId="0" borderId="3" xfId="0" applyFont="1" applyBorder="1" applyAlignment="1">
      <alignment horizontal="right" vertical="center"/>
    </xf>
    <xf numFmtId="14" fontId="402" fillId="0" borderId="3" xfId="0" applyNumberFormat="1" applyFont="1" applyBorder="1" applyAlignment="1">
      <alignment horizontal="center" vertical="center"/>
    </xf>
    <xf numFmtId="0" fontId="403" fillId="0" borderId="3" xfId="0" applyFont="1" applyBorder="1" applyAlignment="1">
      <alignment horizontal="right" vertical="center"/>
    </xf>
    <xf numFmtId="0" fontId="404" fillId="0" borderId="3" xfId="0" applyFont="1" applyBorder="1" applyAlignment="1">
      <alignment horizontal="right" vertical="center"/>
    </xf>
    <xf numFmtId="0" fontId="409" fillId="0" borderId="3" xfId="0" applyFont="1" applyBorder="1" applyAlignment="1">
      <alignment horizontal="right" vertical="center"/>
    </xf>
    <xf numFmtId="0" fontId="410" fillId="0" borderId="3" xfId="0" applyFont="1" applyBorder="1" applyAlignment="1">
      <alignment horizontal="right" vertical="center"/>
    </xf>
    <xf numFmtId="0" fontId="411" fillId="0" borderId="3" xfId="0" applyFont="1" applyBorder="1" applyAlignment="1">
      <alignment horizontal="right" vertical="center"/>
    </xf>
    <xf numFmtId="0" fontId="412" fillId="0" borderId="3" xfId="0" applyFont="1" applyBorder="1" applyAlignment="1">
      <alignment horizontal="right" vertical="center"/>
    </xf>
    <xf numFmtId="14" fontId="413" fillId="0" borderId="3" xfId="0" applyNumberFormat="1" applyFont="1" applyBorder="1" applyAlignment="1">
      <alignment horizontal="center" vertical="center"/>
    </xf>
    <xf numFmtId="0" fontId="414" fillId="0" borderId="3" xfId="0" applyFont="1" applyBorder="1" applyAlignment="1">
      <alignment horizontal="right" vertical="center"/>
    </xf>
    <xf numFmtId="0" fontId="415" fillId="0" borderId="3" xfId="0" applyFont="1" applyBorder="1" applyAlignment="1">
      <alignment horizontal="right" vertical="center"/>
    </xf>
    <xf numFmtId="0" fontId="420" fillId="0" borderId="3" xfId="0" applyFont="1" applyBorder="1" applyAlignment="1">
      <alignment horizontal="right" vertical="center"/>
    </xf>
    <xf numFmtId="0" fontId="421" fillId="0" borderId="3" xfId="0" applyFont="1" applyBorder="1" applyAlignment="1">
      <alignment horizontal="right" vertical="center"/>
    </xf>
    <xf numFmtId="0" fontId="422" fillId="0" borderId="3" xfId="0" applyFont="1" applyBorder="1" applyAlignment="1">
      <alignment horizontal="right" vertical="center"/>
    </xf>
    <xf numFmtId="0" fontId="423" fillId="0" borderId="3" xfId="0" applyFont="1" applyBorder="1" applyAlignment="1">
      <alignment horizontal="right" vertical="center"/>
    </xf>
    <xf numFmtId="0" fontId="424" fillId="0" borderId="3" xfId="0" applyFont="1" applyBorder="1" applyAlignment="1">
      <alignment horizontal="right" vertical="center"/>
    </xf>
    <xf numFmtId="0" fontId="6" fillId="4" borderId="0" xfId="0" applyFont="1" applyFill="1" applyAlignment="1">
      <alignment horizontal="right" vertical="center" indent="1"/>
    </xf>
    <xf numFmtId="0" fontId="15" fillId="4" borderId="0" xfId="0" applyFont="1" applyFill="1" applyAlignment="1">
      <alignment horizontal="right" vertical="center" indent="1"/>
    </xf>
    <xf numFmtId="0" fontId="6" fillId="4" borderId="9" xfId="0" applyFont="1" applyFill="1" applyBorder="1" applyAlignment="1">
      <alignment horizontal="right" vertical="center" indent="1"/>
    </xf>
    <xf numFmtId="0" fontId="16" fillId="4" borderId="0" xfId="0" applyFont="1" applyFill="1" applyAlignment="1">
      <alignment horizontal="right" vertical="center" indent="1"/>
    </xf>
    <xf numFmtId="0" fontId="0" fillId="0" borderId="0" xfId="0" applyAlignment="1">
      <alignment horizontal="right" indent="1"/>
    </xf>
    <xf numFmtId="0" fontId="13" fillId="5" borderId="6" xfId="7" applyFont="1" applyFill="1" applyBorder="1" applyAlignment="1" applyProtection="1">
      <alignment horizontal="right" vertical="center" wrapText="1" indent="1"/>
    </xf>
    <xf numFmtId="0" fontId="416" fillId="0" borderId="3" xfId="0" applyFont="1" applyBorder="1" applyAlignment="1">
      <alignment horizontal="right" vertical="center" indent="1"/>
    </xf>
    <xf numFmtId="0" fontId="405" fillId="0" borderId="3" xfId="0" applyFont="1" applyBorder="1" applyAlignment="1">
      <alignment horizontal="right" vertical="center" indent="1"/>
    </xf>
    <xf numFmtId="0" fontId="393" fillId="0" borderId="3" xfId="0" applyFont="1" applyBorder="1" applyAlignment="1">
      <alignment horizontal="right" vertical="center" indent="1"/>
    </xf>
    <xf numFmtId="0" fontId="382" fillId="0" borderId="3" xfId="0" applyFont="1" applyBorder="1" applyAlignment="1">
      <alignment horizontal="right" vertical="center" indent="1"/>
    </xf>
    <xf numFmtId="0" fontId="369" fillId="0" borderId="3" xfId="0" applyFont="1" applyBorder="1" applyAlignment="1">
      <alignment horizontal="right" vertical="center" indent="1"/>
    </xf>
    <xf numFmtId="0" fontId="356" fillId="0" borderId="3" xfId="0" applyFont="1" applyBorder="1" applyAlignment="1">
      <alignment horizontal="right" vertical="center" indent="1"/>
    </xf>
    <xf numFmtId="0" fontId="345" fillId="0" borderId="3" xfId="0" applyFont="1" applyBorder="1" applyAlignment="1">
      <alignment horizontal="right" vertical="center" indent="1"/>
    </xf>
    <xf numFmtId="0" fontId="332" fillId="0" borderId="3" xfId="0" applyFont="1" applyBorder="1" applyAlignment="1">
      <alignment horizontal="right" vertical="center" indent="1"/>
    </xf>
    <xf numFmtId="0" fontId="319" fillId="0" borderId="3" xfId="0" applyFont="1" applyBorder="1" applyAlignment="1">
      <alignment horizontal="right" vertical="center" indent="1"/>
    </xf>
    <xf numFmtId="0" fontId="306" fillId="0" borderId="3" xfId="0" applyFont="1" applyBorder="1" applyAlignment="1">
      <alignment horizontal="right" vertical="center" indent="1"/>
    </xf>
    <xf numFmtId="0" fontId="293" fillId="0" borderId="3" xfId="0" applyFont="1" applyBorder="1" applyAlignment="1">
      <alignment horizontal="right" vertical="center" indent="1"/>
    </xf>
    <xf numFmtId="0" fontId="269" fillId="0" borderId="3" xfId="0" applyFont="1" applyBorder="1" applyAlignment="1">
      <alignment horizontal="right" vertical="center" indent="1"/>
    </xf>
    <xf numFmtId="0" fontId="256" fillId="0" borderId="3" xfId="0" applyFont="1" applyBorder="1" applyAlignment="1">
      <alignment horizontal="right" vertical="center" indent="1"/>
    </xf>
    <xf numFmtId="0" fontId="243" fillId="0" borderId="3" xfId="0" applyFont="1" applyBorder="1" applyAlignment="1">
      <alignment horizontal="right" vertical="center" indent="1"/>
    </xf>
    <xf numFmtId="0" fontId="230" fillId="0" borderId="3" xfId="0" applyFont="1" applyBorder="1" applyAlignment="1">
      <alignment horizontal="right" vertical="center" indent="1"/>
    </xf>
    <xf numFmtId="0" fontId="217" fillId="0" borderId="3" xfId="0" applyFont="1" applyBorder="1" applyAlignment="1">
      <alignment horizontal="right" vertical="center" indent="1"/>
    </xf>
    <xf numFmtId="0" fontId="204" fillId="0" borderId="3" xfId="0" applyFont="1" applyBorder="1" applyAlignment="1">
      <alignment horizontal="right" vertical="center" indent="1"/>
    </xf>
    <xf numFmtId="0" fontId="191" fillId="0" borderId="3" xfId="0" applyFont="1" applyBorder="1" applyAlignment="1">
      <alignment horizontal="right" vertical="center" indent="1"/>
    </xf>
    <xf numFmtId="0" fontId="178" fillId="0" borderId="3" xfId="0" applyFont="1" applyBorder="1" applyAlignment="1">
      <alignment horizontal="right" vertical="center" indent="1"/>
    </xf>
    <xf numFmtId="0" fontId="166" fillId="0" borderId="3" xfId="0" applyFont="1" applyBorder="1" applyAlignment="1">
      <alignment horizontal="right" vertical="center" indent="1"/>
    </xf>
    <xf numFmtId="0" fontId="153" fillId="0" borderId="3" xfId="0" applyFont="1" applyBorder="1" applyAlignment="1">
      <alignment horizontal="right" vertical="center" indent="1"/>
    </xf>
    <xf numFmtId="0" fontId="140" fillId="0" borderId="3" xfId="0" applyFont="1" applyBorder="1" applyAlignment="1">
      <alignment horizontal="right" vertical="center" indent="1"/>
    </xf>
    <xf numFmtId="0" fontId="128" fillId="0" borderId="3" xfId="0" applyFont="1" applyBorder="1" applyAlignment="1">
      <alignment horizontal="right" vertical="center" indent="1"/>
    </xf>
    <xf numFmtId="0" fontId="115" fillId="0" borderId="3" xfId="0" applyFont="1" applyBorder="1" applyAlignment="1">
      <alignment horizontal="right" vertical="center" indent="1"/>
    </xf>
    <xf numFmtId="0" fontId="102" fillId="0" borderId="3" xfId="0" applyFont="1" applyBorder="1" applyAlignment="1">
      <alignment horizontal="right" vertical="center" indent="1"/>
    </xf>
    <xf numFmtId="0" fontId="89" fillId="0" borderId="3" xfId="0" applyFont="1" applyBorder="1" applyAlignment="1">
      <alignment horizontal="right" vertical="center" indent="1"/>
    </xf>
    <xf numFmtId="0" fontId="78" fillId="0" borderId="3" xfId="0" applyFont="1" applyBorder="1" applyAlignment="1">
      <alignment horizontal="right" vertical="center" indent="1"/>
    </xf>
    <xf numFmtId="0" fontId="65" fillId="0" borderId="3" xfId="0" applyFont="1" applyBorder="1" applyAlignment="1">
      <alignment horizontal="right" vertical="center" indent="1"/>
    </xf>
    <xf numFmtId="0" fontId="17" fillId="0" borderId="3" xfId="0" applyFont="1" applyBorder="1" applyAlignment="1">
      <alignment horizontal="right" vertical="center" indent="1"/>
    </xf>
    <xf numFmtId="0" fontId="46" fillId="0" borderId="3" xfId="0" applyFont="1" applyBorder="1" applyAlignment="1">
      <alignment horizontal="right" vertical="center" indent="1"/>
    </xf>
    <xf numFmtId="0" fontId="33" fillId="0" borderId="3" xfId="0" applyFont="1" applyBorder="1" applyAlignment="1">
      <alignment horizontal="right" vertical="center" indent="1"/>
    </xf>
    <xf numFmtId="0" fontId="21" fillId="0" borderId="0" xfId="0" applyFont="1" applyAlignment="1">
      <alignment horizontal="right" vertical="center" indent="1"/>
    </xf>
    <xf numFmtId="0" fontId="14" fillId="4" borderId="0" xfId="0" applyFont="1" applyFill="1" applyAlignment="1">
      <alignment horizontal="right" vertical="center" indent="1"/>
    </xf>
    <xf numFmtId="0" fontId="417" fillId="0" borderId="3" xfId="0" applyFont="1" applyBorder="1" applyAlignment="1">
      <alignment horizontal="right" vertical="center" indent="1"/>
    </xf>
    <xf numFmtId="0" fontId="406" fillId="0" borderId="3" xfId="0" applyFont="1" applyBorder="1" applyAlignment="1">
      <alignment horizontal="right" vertical="center" indent="1"/>
    </xf>
    <xf numFmtId="0" fontId="394" fillId="0" borderId="3" xfId="0" applyFont="1" applyBorder="1" applyAlignment="1">
      <alignment horizontal="right" vertical="center" indent="1"/>
    </xf>
    <xf numFmtId="0" fontId="383" fillId="0" borderId="3" xfId="0" applyFont="1" applyBorder="1" applyAlignment="1">
      <alignment horizontal="right" vertical="center" indent="1"/>
    </xf>
    <xf numFmtId="0" fontId="370" fillId="0" borderId="3" xfId="0" applyFont="1" applyBorder="1" applyAlignment="1">
      <alignment horizontal="right" vertical="center" indent="1"/>
    </xf>
    <xf numFmtId="0" fontId="357" fillId="0" borderId="3" xfId="0" applyFont="1" applyBorder="1" applyAlignment="1">
      <alignment horizontal="right" vertical="center" indent="1"/>
    </xf>
    <xf numFmtId="0" fontId="346" fillId="0" borderId="3" xfId="0" applyFont="1" applyBorder="1" applyAlignment="1">
      <alignment horizontal="right" vertical="center" indent="1"/>
    </xf>
    <xf numFmtId="0" fontId="333" fillId="0" borderId="3" xfId="0" applyFont="1" applyBorder="1" applyAlignment="1">
      <alignment horizontal="right" vertical="center" indent="1"/>
    </xf>
    <xf numFmtId="0" fontId="320" fillId="0" borderId="3" xfId="0" applyFont="1" applyBorder="1" applyAlignment="1">
      <alignment horizontal="right" vertical="center" indent="1"/>
    </xf>
    <xf numFmtId="0" fontId="307" fillId="0" borderId="3" xfId="0" applyFont="1" applyBorder="1" applyAlignment="1">
      <alignment horizontal="right" vertical="center" indent="1"/>
    </xf>
    <xf numFmtId="0" fontId="294" fillId="0" borderId="3" xfId="0" applyFont="1" applyBorder="1" applyAlignment="1">
      <alignment horizontal="right" vertical="center" indent="1"/>
    </xf>
    <xf numFmtId="0" fontId="282" fillId="0" borderId="3" xfId="0" applyFont="1" applyBorder="1" applyAlignment="1">
      <alignment horizontal="right" vertical="center" indent="1"/>
    </xf>
    <xf numFmtId="0" fontId="270" fillId="0" borderId="3" xfId="0" applyFont="1" applyBorder="1" applyAlignment="1">
      <alignment horizontal="right" vertical="center" indent="1"/>
    </xf>
    <xf numFmtId="0" fontId="257" fillId="0" borderId="3" xfId="0" applyFont="1" applyBorder="1" applyAlignment="1">
      <alignment horizontal="right" vertical="center" indent="1"/>
    </xf>
    <xf numFmtId="0" fontId="244" fillId="0" borderId="3" xfId="0" applyFont="1" applyBorder="1" applyAlignment="1">
      <alignment horizontal="right" vertical="center" indent="1"/>
    </xf>
    <xf numFmtId="0" fontId="231" fillId="0" borderId="3" xfId="0" applyFont="1" applyBorder="1" applyAlignment="1">
      <alignment horizontal="right" vertical="center" indent="1"/>
    </xf>
    <xf numFmtId="0" fontId="218" fillId="0" borderId="3" xfId="0" applyFont="1" applyBorder="1" applyAlignment="1">
      <alignment horizontal="right" vertical="center" indent="1"/>
    </xf>
    <xf numFmtId="0" fontId="205" fillId="0" borderId="3" xfId="0" applyFont="1" applyBorder="1" applyAlignment="1">
      <alignment horizontal="right" vertical="center" indent="1"/>
    </xf>
    <xf numFmtId="0" fontId="192" fillId="0" borderId="3" xfId="0" applyFont="1" applyBorder="1" applyAlignment="1">
      <alignment horizontal="right" vertical="center" indent="1"/>
    </xf>
    <xf numFmtId="0" fontId="179" fillId="0" borderId="3" xfId="0" applyFont="1" applyBorder="1" applyAlignment="1">
      <alignment horizontal="right" vertical="center" indent="1"/>
    </xf>
    <xf numFmtId="0" fontId="167" fillId="0" borderId="3" xfId="0" applyFont="1" applyBorder="1" applyAlignment="1">
      <alignment horizontal="right" vertical="center" indent="1"/>
    </xf>
    <xf numFmtId="0" fontId="154" fillId="0" borderId="3" xfId="0" applyFont="1" applyBorder="1" applyAlignment="1">
      <alignment horizontal="right" vertical="center" indent="1"/>
    </xf>
    <xf numFmtId="0" fontId="141" fillId="0" borderId="3" xfId="0" applyFont="1" applyBorder="1" applyAlignment="1">
      <alignment horizontal="right" vertical="center" indent="1"/>
    </xf>
    <xf numFmtId="0" fontId="129" fillId="0" borderId="3" xfId="0" applyFont="1" applyBorder="1" applyAlignment="1">
      <alignment horizontal="right" vertical="center" indent="1"/>
    </xf>
    <xf numFmtId="0" fontId="116" fillId="0" borderId="3" xfId="0" applyFont="1" applyBorder="1" applyAlignment="1">
      <alignment horizontal="right" vertical="center" indent="1"/>
    </xf>
    <xf numFmtId="0" fontId="103" fillId="0" borderId="3" xfId="0" applyFont="1" applyBorder="1" applyAlignment="1">
      <alignment horizontal="right" vertical="center" indent="1"/>
    </xf>
    <xf numFmtId="0" fontId="90" fillId="0" borderId="3" xfId="0" applyFont="1" applyBorder="1" applyAlignment="1">
      <alignment horizontal="right" vertical="center" indent="1"/>
    </xf>
    <xf numFmtId="0" fontId="79" fillId="0" borderId="3" xfId="0" applyFont="1" applyBorder="1" applyAlignment="1">
      <alignment horizontal="right" vertical="center" indent="1"/>
    </xf>
    <xf numFmtId="0" fontId="66" fillId="0" borderId="3" xfId="0" applyFont="1" applyBorder="1" applyAlignment="1">
      <alignment horizontal="right" vertical="center" indent="1"/>
    </xf>
    <xf numFmtId="0" fontId="47" fillId="0" borderId="3" xfId="0" applyFont="1" applyBorder="1" applyAlignment="1">
      <alignment horizontal="right" vertical="center" indent="1"/>
    </xf>
    <xf numFmtId="0" fontId="34" fillId="0" borderId="3" xfId="0" applyFont="1" applyBorder="1" applyAlignment="1">
      <alignment horizontal="right" vertical="center" indent="1"/>
    </xf>
    <xf numFmtId="0" fontId="22" fillId="0" borderId="0" xfId="0" applyFont="1" applyAlignment="1">
      <alignment horizontal="right" vertical="center" indent="1"/>
    </xf>
    <xf numFmtId="0" fontId="418" fillId="0" borderId="3" xfId="0" applyFont="1" applyBorder="1" applyAlignment="1">
      <alignment horizontal="right" vertical="center" indent="1"/>
    </xf>
    <xf numFmtId="0" fontId="407" fillId="0" borderId="3" xfId="0" applyFont="1" applyBorder="1" applyAlignment="1">
      <alignment horizontal="right" vertical="center" indent="1"/>
    </xf>
    <xf numFmtId="0" fontId="395" fillId="0" borderId="3" xfId="0" applyFont="1" applyBorder="1" applyAlignment="1">
      <alignment horizontal="right" vertical="center" indent="1"/>
    </xf>
    <xf numFmtId="0" fontId="384" fillId="0" borderId="3" xfId="0" applyFont="1" applyBorder="1" applyAlignment="1">
      <alignment horizontal="right" vertical="center" indent="1"/>
    </xf>
    <xf numFmtId="0" fontId="371" fillId="0" borderId="3" xfId="0" applyFont="1" applyBorder="1" applyAlignment="1">
      <alignment horizontal="right" vertical="center" indent="1"/>
    </xf>
    <xf numFmtId="0" fontId="358" fillId="0" borderId="3" xfId="0" applyFont="1" applyBorder="1" applyAlignment="1">
      <alignment horizontal="right" vertical="center" indent="1"/>
    </xf>
    <xf numFmtId="0" fontId="347" fillId="0" borderId="3" xfId="0" applyFont="1" applyBorder="1" applyAlignment="1">
      <alignment horizontal="right" vertical="center" indent="1"/>
    </xf>
    <xf numFmtId="0" fontId="334" fillId="0" borderId="3" xfId="0" applyFont="1" applyBorder="1" applyAlignment="1">
      <alignment horizontal="right" vertical="center" indent="1"/>
    </xf>
    <xf numFmtId="0" fontId="321" fillId="0" borderId="3" xfId="0" applyFont="1" applyBorder="1" applyAlignment="1">
      <alignment horizontal="right" vertical="center" indent="1"/>
    </xf>
    <xf numFmtId="0" fontId="308" fillId="0" borderId="3" xfId="0" applyFont="1" applyBorder="1" applyAlignment="1">
      <alignment horizontal="right" vertical="center" indent="1"/>
    </xf>
    <xf numFmtId="0" fontId="295" fillId="0" borderId="3" xfId="0" applyFont="1" applyBorder="1" applyAlignment="1">
      <alignment horizontal="right" vertical="center" indent="1"/>
    </xf>
    <xf numFmtId="0" fontId="283" fillId="0" borderId="3" xfId="0" applyFont="1" applyBorder="1" applyAlignment="1">
      <alignment horizontal="right" vertical="center" indent="1"/>
    </xf>
    <xf numFmtId="0" fontId="271" fillId="0" borderId="3" xfId="0" applyFont="1" applyBorder="1" applyAlignment="1">
      <alignment horizontal="right" vertical="center" indent="1"/>
    </xf>
    <xf numFmtId="0" fontId="258" fillId="0" borderId="3" xfId="0" applyFont="1" applyBorder="1" applyAlignment="1">
      <alignment horizontal="right" vertical="center" indent="1"/>
    </xf>
    <xf numFmtId="0" fontId="245" fillId="0" borderId="3" xfId="0" applyFont="1" applyBorder="1" applyAlignment="1">
      <alignment horizontal="right" vertical="center" indent="1"/>
    </xf>
    <xf numFmtId="0" fontId="232" fillId="0" borderId="3" xfId="0" applyFont="1" applyBorder="1" applyAlignment="1">
      <alignment horizontal="right" vertical="center" indent="1"/>
    </xf>
    <xf numFmtId="0" fontId="219" fillId="0" borderId="3" xfId="0" applyFont="1" applyBorder="1" applyAlignment="1">
      <alignment horizontal="right" vertical="center" indent="1"/>
    </xf>
    <xf numFmtId="0" fontId="206" fillId="0" borderId="3" xfId="0" applyFont="1" applyBorder="1" applyAlignment="1">
      <alignment horizontal="right" vertical="center" indent="1"/>
    </xf>
    <xf numFmtId="0" fontId="193" fillId="0" borderId="3" xfId="0" applyFont="1" applyBorder="1" applyAlignment="1">
      <alignment horizontal="right" vertical="center" indent="1"/>
    </xf>
    <xf numFmtId="0" fontId="180" fillId="0" borderId="3" xfId="0" applyFont="1" applyBorder="1" applyAlignment="1">
      <alignment horizontal="right" vertical="center" indent="1"/>
    </xf>
    <xf numFmtId="0" fontId="365" fillId="0" borderId="3" xfId="0" applyFont="1" applyBorder="1" applyAlignment="1">
      <alignment horizontal="right" vertical="center" indent="1"/>
    </xf>
    <xf numFmtId="0" fontId="155" fillId="0" borderId="3" xfId="0" applyFont="1" applyBorder="1" applyAlignment="1">
      <alignment horizontal="right" vertical="center" indent="1"/>
    </xf>
    <xf numFmtId="0" fontId="142" fillId="0" borderId="3" xfId="0" applyFont="1" applyBorder="1" applyAlignment="1">
      <alignment horizontal="right" vertical="center" indent="1"/>
    </xf>
    <xf numFmtId="0" fontId="130" fillId="0" borderId="3" xfId="0" applyFont="1" applyBorder="1" applyAlignment="1">
      <alignment horizontal="right" vertical="center" indent="1"/>
    </xf>
    <xf numFmtId="0" fontId="117" fillId="0" borderId="3" xfId="0" applyFont="1" applyBorder="1" applyAlignment="1">
      <alignment horizontal="right" vertical="center" indent="1"/>
    </xf>
    <xf numFmtId="0" fontId="104" fillId="0" borderId="3" xfId="0" applyFont="1" applyBorder="1" applyAlignment="1">
      <alignment horizontal="right" vertical="center" indent="1"/>
    </xf>
    <xf numFmtId="0" fontId="91" fillId="0" borderId="3" xfId="0" applyFont="1" applyBorder="1" applyAlignment="1">
      <alignment horizontal="right" vertical="center" indent="1"/>
    </xf>
    <xf numFmtId="0" fontId="67" fillId="0" borderId="3" xfId="0" applyFont="1" applyBorder="1" applyAlignment="1">
      <alignment horizontal="right" vertical="center" indent="1"/>
    </xf>
    <xf numFmtId="0" fontId="35" fillId="0" borderId="3" xfId="0" applyFont="1" applyBorder="1" applyAlignment="1">
      <alignment horizontal="right" vertical="center" indent="1"/>
    </xf>
    <xf numFmtId="0" fontId="17" fillId="0" borderId="0" xfId="0" applyFont="1" applyAlignment="1">
      <alignment horizontal="right" vertical="center" indent="1"/>
    </xf>
    <xf numFmtId="0" fontId="419" fillId="0" borderId="3" xfId="0" applyFont="1" applyBorder="1" applyAlignment="1">
      <alignment horizontal="right" vertical="center" indent="1"/>
    </xf>
    <xf numFmtId="0" fontId="408" fillId="0" borderId="3" xfId="0" applyFont="1" applyBorder="1" applyAlignment="1">
      <alignment horizontal="right" vertical="center" indent="1"/>
    </xf>
    <xf numFmtId="0" fontId="396" fillId="0" borderId="3" xfId="0" applyFont="1" applyBorder="1" applyAlignment="1">
      <alignment horizontal="right" vertical="center" indent="1"/>
    </xf>
    <xf numFmtId="0" fontId="385" fillId="0" borderId="3" xfId="0" applyFont="1" applyBorder="1" applyAlignment="1">
      <alignment horizontal="right" vertical="center" indent="1"/>
    </xf>
    <xf numFmtId="0" fontId="372" fillId="0" borderId="3" xfId="0" applyFont="1" applyBorder="1" applyAlignment="1">
      <alignment horizontal="right" vertical="center" indent="1"/>
    </xf>
    <xf numFmtId="0" fontId="359" fillId="0" borderId="3" xfId="0" applyFont="1" applyBorder="1" applyAlignment="1">
      <alignment horizontal="right" vertical="center" indent="1"/>
    </xf>
    <xf numFmtId="0" fontId="348" fillId="0" borderId="3" xfId="0" applyFont="1" applyBorder="1" applyAlignment="1">
      <alignment horizontal="right" vertical="center" indent="1"/>
    </xf>
    <xf numFmtId="0" fontId="335" fillId="0" borderId="3" xfId="0" applyFont="1" applyBorder="1" applyAlignment="1">
      <alignment horizontal="right" vertical="center" indent="1"/>
    </xf>
    <xf numFmtId="0" fontId="322" fillId="0" borderId="3" xfId="0" applyFont="1" applyBorder="1" applyAlignment="1">
      <alignment horizontal="right" vertical="center" indent="1"/>
    </xf>
    <xf numFmtId="0" fontId="309" fillId="0" borderId="3" xfId="0" applyFont="1" applyBorder="1" applyAlignment="1">
      <alignment horizontal="right" vertical="center" indent="1"/>
    </xf>
    <xf numFmtId="0" fontId="296" fillId="0" borderId="3" xfId="0" applyFont="1" applyBorder="1" applyAlignment="1">
      <alignment horizontal="right" vertical="center" indent="1"/>
    </xf>
    <xf numFmtId="0" fontId="284" fillId="0" borderId="3" xfId="0" applyFont="1" applyBorder="1" applyAlignment="1">
      <alignment horizontal="right" vertical="center" indent="1"/>
    </xf>
    <xf numFmtId="0" fontId="272" fillId="0" borderId="3" xfId="0" applyFont="1" applyBorder="1" applyAlignment="1">
      <alignment horizontal="right" vertical="center" indent="1"/>
    </xf>
    <xf numFmtId="0" fontId="259" fillId="0" borderId="3" xfId="0" applyFont="1" applyBorder="1" applyAlignment="1">
      <alignment horizontal="right" vertical="center" indent="1"/>
    </xf>
    <xf numFmtId="0" fontId="246" fillId="0" borderId="3" xfId="0" applyFont="1" applyBorder="1" applyAlignment="1">
      <alignment horizontal="right" vertical="center" indent="1"/>
    </xf>
    <xf numFmtId="0" fontId="233" fillId="0" borderId="3" xfId="0" applyFont="1" applyBorder="1" applyAlignment="1">
      <alignment horizontal="right" vertical="center" indent="1"/>
    </xf>
    <xf numFmtId="0" fontId="220" fillId="0" borderId="3" xfId="0" applyFont="1" applyBorder="1" applyAlignment="1">
      <alignment horizontal="right" vertical="center" indent="1"/>
    </xf>
    <xf numFmtId="0" fontId="207" fillId="0" borderId="3" xfId="0" applyFont="1" applyBorder="1" applyAlignment="1">
      <alignment horizontal="right" vertical="center" indent="1"/>
    </xf>
    <xf numFmtId="0" fontId="194" fillId="0" borderId="3" xfId="0" applyFont="1" applyBorder="1" applyAlignment="1">
      <alignment horizontal="right" vertical="center" indent="1"/>
    </xf>
    <xf numFmtId="0" fontId="181" fillId="0" borderId="3" xfId="0" applyFont="1" applyBorder="1" applyAlignment="1">
      <alignment horizontal="right" vertical="center" indent="1"/>
    </xf>
    <xf numFmtId="0" fontId="168" fillId="0" borderId="3" xfId="0" applyFont="1" applyBorder="1" applyAlignment="1">
      <alignment horizontal="right" vertical="center" indent="1"/>
    </xf>
    <xf numFmtId="0" fontId="156" fillId="0" borderId="3" xfId="0" applyFont="1" applyBorder="1" applyAlignment="1">
      <alignment horizontal="right" vertical="center" indent="1"/>
    </xf>
    <xf numFmtId="0" fontId="143" fillId="0" borderId="3" xfId="0" applyFont="1" applyBorder="1" applyAlignment="1">
      <alignment horizontal="right" vertical="center" indent="1"/>
    </xf>
    <xf numFmtId="0" fontId="131" fillId="0" borderId="3" xfId="0" applyFont="1" applyBorder="1" applyAlignment="1">
      <alignment horizontal="right" vertical="center" indent="1"/>
    </xf>
    <xf numFmtId="0" fontId="118" fillId="0" borderId="3" xfId="0" applyFont="1" applyBorder="1" applyAlignment="1">
      <alignment horizontal="right" vertical="center" indent="1"/>
    </xf>
    <xf numFmtId="0" fontId="105" fillId="0" borderId="3" xfId="0" applyFont="1" applyBorder="1" applyAlignment="1">
      <alignment horizontal="right" vertical="center" indent="1"/>
    </xf>
    <xf numFmtId="0" fontId="92" fillId="0" borderId="3" xfId="0" applyFont="1" applyBorder="1" applyAlignment="1">
      <alignment horizontal="right" vertical="center" indent="1"/>
    </xf>
    <xf numFmtId="0" fontId="80" fillId="0" borderId="3" xfId="0" applyFont="1" applyBorder="1" applyAlignment="1">
      <alignment horizontal="right" vertical="center" indent="1"/>
    </xf>
    <xf numFmtId="0" fontId="68" fillId="0" borderId="3" xfId="0" applyFont="1" applyBorder="1" applyAlignment="1">
      <alignment horizontal="right" vertical="center" indent="1"/>
    </xf>
    <xf numFmtId="0" fontId="48" fillId="0" borderId="3" xfId="0" applyFont="1" applyBorder="1" applyAlignment="1">
      <alignment horizontal="right" vertical="center" indent="1"/>
    </xf>
    <xf numFmtId="0" fontId="36" fillId="0" borderId="3" xfId="0" applyFont="1" applyBorder="1" applyAlignment="1">
      <alignment horizontal="right" vertical="center" indent="1"/>
    </xf>
    <xf numFmtId="0" fontId="23" fillId="0" borderId="0" xfId="0" applyFont="1" applyAlignment="1">
      <alignment horizontal="right" vertical="center" indent="1"/>
    </xf>
    <xf numFmtId="14" fontId="425" fillId="0" borderId="3" xfId="0" applyNumberFormat="1" applyFont="1" applyBorder="1" applyAlignment="1">
      <alignment horizontal="center" vertical="center"/>
    </xf>
    <xf numFmtId="0" fontId="426" fillId="0" borderId="3" xfId="0" applyFont="1" applyBorder="1" applyAlignment="1">
      <alignment horizontal="right" vertical="center"/>
    </xf>
    <xf numFmtId="0" fontId="427" fillId="0" borderId="3" xfId="0" applyFont="1" applyBorder="1" applyAlignment="1">
      <alignment horizontal="right" vertical="center"/>
    </xf>
    <xf numFmtId="0" fontId="428" fillId="0" borderId="3" xfId="0" applyFont="1" applyBorder="1" applyAlignment="1">
      <alignment horizontal="right" vertical="center"/>
    </xf>
    <xf numFmtId="0" fontId="429" fillId="0" borderId="3" xfId="0" applyFont="1" applyBorder="1" applyAlignment="1">
      <alignment horizontal="right" vertical="center"/>
    </xf>
    <xf numFmtId="0" fontId="430" fillId="0" borderId="3" xfId="0" applyFont="1" applyBorder="1" applyAlignment="1">
      <alignment horizontal="right" vertical="center"/>
    </xf>
    <xf numFmtId="0" fontId="431" fillId="0" borderId="3" xfId="0" applyFont="1" applyBorder="1" applyAlignment="1">
      <alignment horizontal="right" vertical="center"/>
    </xf>
    <xf numFmtId="0" fontId="432" fillId="0" borderId="3" xfId="0" applyFont="1" applyBorder="1" applyAlignment="1">
      <alignment horizontal="right" vertical="center"/>
    </xf>
    <xf numFmtId="14" fontId="433" fillId="0" borderId="3" xfId="0" applyNumberFormat="1" applyFont="1" applyBorder="1" applyAlignment="1">
      <alignment horizontal="center" vertical="center"/>
    </xf>
    <xf numFmtId="0" fontId="434" fillId="0" borderId="3" xfId="0" applyFont="1" applyBorder="1" applyAlignment="1">
      <alignment horizontal="right" vertical="center"/>
    </xf>
    <xf numFmtId="0" fontId="435" fillId="0" borderId="3" xfId="0" applyFont="1" applyBorder="1" applyAlignment="1">
      <alignment horizontal="right" vertical="center"/>
    </xf>
    <xf numFmtId="0" fontId="436" fillId="0" borderId="3" xfId="0" applyFont="1" applyBorder="1" applyAlignment="1">
      <alignment horizontal="right" vertical="center"/>
    </xf>
    <xf numFmtId="0" fontId="437" fillId="0" borderId="3" xfId="0" applyFont="1" applyBorder="1" applyAlignment="1">
      <alignment horizontal="right" vertical="center"/>
    </xf>
    <xf numFmtId="0" fontId="438" fillId="0" borderId="3" xfId="0" applyFont="1" applyBorder="1" applyAlignment="1">
      <alignment horizontal="right" vertical="center"/>
    </xf>
    <xf numFmtId="0" fontId="439" fillId="0" borderId="3" xfId="0" applyFont="1" applyBorder="1" applyAlignment="1">
      <alignment horizontal="right" vertical="center"/>
    </xf>
    <xf numFmtId="0" fontId="440" fillId="0" borderId="3" xfId="0" applyFont="1" applyBorder="1" applyAlignment="1">
      <alignment horizontal="right" vertical="center"/>
    </xf>
    <xf numFmtId="0" fontId="441" fillId="0" borderId="3" xfId="0" applyFont="1" applyBorder="1" applyAlignment="1">
      <alignment horizontal="right" vertical="center"/>
    </xf>
    <xf numFmtId="0" fontId="442" fillId="0" borderId="3" xfId="0" applyFont="1" applyBorder="1" applyAlignment="1">
      <alignment horizontal="right" vertical="center"/>
    </xf>
    <xf numFmtId="0" fontId="443" fillId="0" borderId="3" xfId="0" applyFont="1" applyBorder="1" applyAlignment="1">
      <alignment horizontal="right" vertical="center"/>
    </xf>
    <xf numFmtId="0" fontId="444" fillId="0" borderId="3" xfId="0" applyFont="1" applyBorder="1" applyAlignment="1">
      <alignment horizontal="right" vertical="center"/>
    </xf>
    <xf numFmtId="14" fontId="445" fillId="0" borderId="3" xfId="0" applyNumberFormat="1" applyFont="1" applyBorder="1" applyAlignment="1">
      <alignment horizontal="center" vertical="center"/>
    </xf>
    <xf numFmtId="0" fontId="446" fillId="0" borderId="3" xfId="0" applyFont="1" applyBorder="1" applyAlignment="1">
      <alignment horizontal="right" vertical="center"/>
    </xf>
    <xf numFmtId="0" fontId="447" fillId="0" borderId="3" xfId="0" applyFont="1" applyBorder="1" applyAlignment="1">
      <alignment horizontal="right" vertical="center"/>
    </xf>
    <xf numFmtId="0" fontId="448" fillId="0" borderId="3" xfId="0" applyFont="1" applyBorder="1" applyAlignment="1">
      <alignment horizontal="right" vertical="center"/>
    </xf>
    <xf numFmtId="0" fontId="449" fillId="0" borderId="3" xfId="0" applyFont="1" applyBorder="1" applyAlignment="1">
      <alignment horizontal="right" vertical="center"/>
    </xf>
    <xf numFmtId="0" fontId="450" fillId="0" borderId="3" xfId="0" applyFont="1" applyBorder="1" applyAlignment="1">
      <alignment horizontal="right" vertical="center"/>
    </xf>
    <xf numFmtId="0" fontId="451" fillId="0" borderId="3" xfId="0" applyFont="1" applyBorder="1" applyAlignment="1">
      <alignment horizontal="right" vertical="center"/>
    </xf>
    <xf numFmtId="0" fontId="452" fillId="0" borderId="3" xfId="0" applyFont="1" applyBorder="1" applyAlignment="1">
      <alignment horizontal="right" vertical="center"/>
    </xf>
    <xf numFmtId="0" fontId="453" fillId="0" borderId="3" xfId="0" applyFont="1" applyBorder="1" applyAlignment="1">
      <alignment horizontal="right" vertical="center"/>
    </xf>
    <xf numFmtId="0" fontId="454" fillId="0" borderId="3" xfId="0" applyFont="1" applyBorder="1" applyAlignment="1">
      <alignment horizontal="right" vertical="center"/>
    </xf>
    <xf numFmtId="0" fontId="455" fillId="0" borderId="3" xfId="0" applyFont="1" applyBorder="1" applyAlignment="1">
      <alignment horizontal="right" vertical="center"/>
    </xf>
    <xf numFmtId="0" fontId="456" fillId="0" borderId="3" xfId="0" applyFont="1" applyBorder="1" applyAlignment="1">
      <alignment horizontal="right" vertical="center"/>
    </xf>
    <xf numFmtId="0" fontId="457" fillId="0" borderId="3" xfId="0" applyFont="1" applyBorder="1" applyAlignment="1">
      <alignment horizontal="right" vertical="center"/>
    </xf>
    <xf numFmtId="14" fontId="458" fillId="0" borderId="3" xfId="0" applyNumberFormat="1" applyFont="1" applyBorder="1" applyAlignment="1">
      <alignment horizontal="center" vertical="center"/>
    </xf>
    <xf numFmtId="0" fontId="459" fillId="0" borderId="3" xfId="0" applyFont="1" applyBorder="1" applyAlignment="1">
      <alignment horizontal="right" vertical="center"/>
    </xf>
    <xf numFmtId="0" fontId="460" fillId="0" borderId="3" xfId="0" applyFont="1" applyBorder="1" applyAlignment="1">
      <alignment horizontal="right" vertical="center"/>
    </xf>
    <xf numFmtId="0" fontId="461" fillId="0" borderId="3" xfId="0" applyFont="1" applyBorder="1" applyAlignment="1">
      <alignment horizontal="right" vertical="center"/>
    </xf>
    <xf numFmtId="0" fontId="462" fillId="0" borderId="3" xfId="0" applyFont="1" applyBorder="1" applyAlignment="1">
      <alignment horizontal="right" vertical="center"/>
    </xf>
    <xf numFmtId="0" fontId="463" fillId="0" borderId="3" xfId="0" applyFont="1" applyBorder="1" applyAlignment="1">
      <alignment horizontal="right" vertical="center"/>
    </xf>
    <xf numFmtId="0" fontId="464" fillId="0" borderId="3" xfId="0" applyFont="1" applyBorder="1" applyAlignment="1">
      <alignment horizontal="right" vertical="center"/>
    </xf>
    <xf numFmtId="0" fontId="465" fillId="0" borderId="3" xfId="0" applyFont="1" applyBorder="1" applyAlignment="1">
      <alignment horizontal="right" vertical="center"/>
    </xf>
    <xf numFmtId="0" fontId="466" fillId="0" borderId="3" xfId="0" applyFont="1" applyBorder="1" applyAlignment="1">
      <alignment horizontal="right" vertical="center"/>
    </xf>
    <xf numFmtId="0" fontId="467" fillId="0" borderId="3" xfId="0" applyFont="1" applyBorder="1" applyAlignment="1">
      <alignment horizontal="right" vertical="center"/>
    </xf>
    <xf numFmtId="0" fontId="468" fillId="0" borderId="3" xfId="0" applyFont="1" applyBorder="1" applyAlignment="1">
      <alignment horizontal="right" vertical="center"/>
    </xf>
    <xf numFmtId="0" fontId="469" fillId="0" borderId="3" xfId="0" applyFont="1" applyBorder="1" applyAlignment="1">
      <alignment horizontal="right" vertical="center"/>
    </xf>
    <xf numFmtId="0" fontId="470" fillId="0" borderId="3" xfId="0" applyFont="1" applyBorder="1" applyAlignment="1">
      <alignment horizontal="right" vertical="center"/>
    </xf>
    <xf numFmtId="0" fontId="471" fillId="0" borderId="11" xfId="0" applyFont="1" applyBorder="1" applyAlignment="1">
      <alignment horizontal="left" vertical="center"/>
    </xf>
    <xf numFmtId="14" fontId="472" fillId="0" borderId="3" xfId="0" applyNumberFormat="1" applyFont="1" applyBorder="1" applyAlignment="1">
      <alignment horizontal="center" vertical="center"/>
    </xf>
    <xf numFmtId="0" fontId="473" fillId="0" borderId="3" xfId="0" applyFont="1" applyBorder="1" applyAlignment="1">
      <alignment horizontal="right" vertical="center"/>
    </xf>
    <xf numFmtId="0" fontId="474" fillId="0" borderId="3" xfId="0" applyFont="1" applyBorder="1" applyAlignment="1">
      <alignment horizontal="right" vertical="center"/>
    </xf>
    <xf numFmtId="0" fontId="475" fillId="0" borderId="3" xfId="0" applyFont="1" applyBorder="1" applyAlignment="1">
      <alignment horizontal="right" vertical="center"/>
    </xf>
    <xf numFmtId="0" fontId="476" fillId="0" borderId="3" xfId="0" applyFont="1" applyBorder="1" applyAlignment="1">
      <alignment horizontal="right" vertical="center"/>
    </xf>
    <xf numFmtId="0" fontId="477" fillId="0" borderId="3" xfId="0" applyFont="1" applyBorder="1" applyAlignment="1">
      <alignment horizontal="right" vertical="center"/>
    </xf>
    <xf numFmtId="0" fontId="478" fillId="0" borderId="3" xfId="0" applyFont="1" applyBorder="1" applyAlignment="1">
      <alignment horizontal="right" vertical="center"/>
    </xf>
    <xf numFmtId="0" fontId="479" fillId="0" borderId="3" xfId="0" applyFont="1" applyBorder="1" applyAlignment="1">
      <alignment horizontal="right" vertical="center"/>
    </xf>
    <xf numFmtId="0" fontId="480" fillId="0" borderId="3" xfId="0" applyFont="1" applyBorder="1" applyAlignment="1">
      <alignment horizontal="right" vertical="center"/>
    </xf>
    <xf numFmtId="0" fontId="481" fillId="0" borderId="3" xfId="0" applyFont="1" applyBorder="1" applyAlignment="1">
      <alignment horizontal="right" vertical="center"/>
    </xf>
    <xf numFmtId="0" fontId="482" fillId="0" borderId="3" xfId="0" applyFont="1" applyBorder="1" applyAlignment="1">
      <alignment horizontal="right" vertical="center"/>
    </xf>
    <xf numFmtId="0" fontId="483" fillId="0" borderId="3" xfId="0" applyFont="1" applyBorder="1" applyAlignment="1">
      <alignment horizontal="right" vertical="center"/>
    </xf>
    <xf numFmtId="0" fontId="484" fillId="0" borderId="3" xfId="0" applyFont="1" applyBorder="1" applyAlignment="1">
      <alignment horizontal="right" vertical="center"/>
    </xf>
    <xf numFmtId="0" fontId="7" fillId="2" borderId="0" xfId="0" applyFont="1" applyFill="1" applyAlignment="1">
      <alignment vertical="center"/>
    </xf>
    <xf numFmtId="0" fontId="0" fillId="0" borderId="0" xfId="0"/>
    <xf numFmtId="0" fontId="8" fillId="0" borderId="10" xfId="2" applyNumberFormat="1" applyFont="1" applyBorder="1" applyAlignment="1" applyProtection="1">
      <alignment horizontal="left" vertical="center"/>
    </xf>
  </cellXfs>
  <cellStyles count="10">
    <cellStyle name="Excel_BuiltIn_Заголовок 2" xfId="1" xr:uid="{5F8FA1C3-451C-42D9-B71C-B0E97EE86988}"/>
    <cellStyle name="Excel_BuiltIn_Пояснение" xfId="2" xr:uid="{AB63622A-F50D-4AF0-921F-DB0F9A50FA0C}"/>
    <cellStyle name="Дата" xfId="3" xr:uid="{8B3655E2-EB43-4FB1-B893-2D98632B8E33}"/>
    <cellStyle name="Заголовок 4 с выравниванием по правому краю" xfId="4" xr:uid="{285203B8-BC97-4EF8-A9ED-FE736F365C21}"/>
    <cellStyle name="Количество" xfId="5" xr:uid="{EE9071C7-AE54-40C6-91A0-11C1C6FA856B}"/>
    <cellStyle name="Обычный" xfId="0" builtinId="0"/>
    <cellStyle name="Сведения о кредите" xfId="6" xr:uid="{4B729EA7-D543-4C84-A959-F60E4BA679DD}"/>
    <cellStyle name="Стиль 6" xfId="7" xr:uid="{E2D08697-361A-4B9D-8085-90496A7A2050}"/>
    <cellStyle name="Сумма" xfId="8" xr:uid="{7B27E52F-6504-4411-9A26-E0A1F06CFC25}"/>
    <cellStyle name="Сумма в таблице" xfId="9" xr:uid="{6C8BB13B-F0E9-4DD1-8FCF-3B54FFDCED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4BA5D-8288-4ADC-A79A-2E2545BCE08E}">
  <dimension ref="A1:IV55"/>
  <sheetViews>
    <sheetView tabSelected="1" topLeftCell="A2" workbookViewId="0">
      <pane ySplit="9" topLeftCell="A11" activePane="bottomLeft" state="frozen"/>
      <selection activeCell="A2" sqref="A2"/>
      <selection pane="bottomLeft" activeCell="A11" sqref="A11:IV11"/>
    </sheetView>
  </sheetViews>
  <sheetFormatPr defaultRowHeight="15" x14ac:dyDescent="0.25"/>
  <cols>
    <col min="1" max="1" width="1.28515625" customWidth="1"/>
    <col min="2" max="2" width="13.85546875" customWidth="1"/>
    <col min="3" max="3" width="16.28515625" customWidth="1"/>
    <col min="4" max="4" width="20" customWidth="1"/>
    <col min="5" max="5" width="30" style="306" customWidth="1"/>
    <col min="6" max="6" width="31.85546875" style="306" customWidth="1"/>
    <col min="7" max="7" width="12" style="306" customWidth="1"/>
    <col min="8" max="8" width="29.7109375" style="306" customWidth="1"/>
    <col min="9" max="9" width="19.28515625" customWidth="1"/>
    <col min="10" max="10" width="34.5703125" customWidth="1"/>
    <col min="11" max="11" width="15.5703125" customWidth="1"/>
    <col min="12" max="12" width="31.85546875" customWidth="1"/>
    <col min="13" max="13" width="13.42578125" customWidth="1"/>
    <col min="14" max="14" width="17" customWidth="1"/>
  </cols>
  <sheetData>
    <row r="1" spans="1:256" s="496" customFormat="1" ht="6.75" hidden="1" customHeight="1" x14ac:dyDescent="0.25">
      <c r="A1" s="495" t="s">
        <v>13</v>
      </c>
      <c r="B1" s="495"/>
      <c r="C1" s="495"/>
      <c r="D1" s="495"/>
      <c r="E1" s="495"/>
      <c r="F1" s="495"/>
      <c r="G1" s="495"/>
      <c r="H1" s="495"/>
      <c r="I1" s="495"/>
      <c r="J1" s="495"/>
      <c r="K1" s="495"/>
      <c r="L1" s="495"/>
      <c r="M1" s="495"/>
      <c r="N1" s="495"/>
      <c r="O1" s="495"/>
      <c r="P1" s="495"/>
      <c r="Q1" s="495"/>
      <c r="R1" s="495"/>
      <c r="S1" s="495"/>
      <c r="T1" s="495"/>
      <c r="U1" s="495"/>
      <c r="V1" s="495"/>
      <c r="W1" s="495"/>
      <c r="X1" s="495"/>
      <c r="Y1" s="495"/>
      <c r="Z1" s="495"/>
      <c r="AA1" s="495"/>
      <c r="AB1" s="495"/>
      <c r="AC1" s="495"/>
      <c r="AD1" s="495"/>
      <c r="AE1" s="495"/>
      <c r="AF1" s="495"/>
      <c r="AG1" s="495"/>
      <c r="AH1" s="495"/>
      <c r="AI1" s="495"/>
      <c r="AJ1" s="495"/>
      <c r="AK1" s="495"/>
      <c r="AL1" s="495"/>
      <c r="AM1" s="495"/>
      <c r="AN1" s="495"/>
      <c r="AO1" s="495"/>
      <c r="AP1" s="495"/>
      <c r="AQ1" s="495"/>
      <c r="AR1" s="495"/>
      <c r="AS1" s="495"/>
      <c r="AT1" s="495"/>
      <c r="AU1" s="495"/>
      <c r="AV1" s="495"/>
      <c r="AW1" s="495"/>
      <c r="AX1" s="495"/>
      <c r="AY1" s="495"/>
      <c r="AZ1" s="495"/>
      <c r="BA1" s="495"/>
      <c r="BB1" s="495"/>
      <c r="BC1" s="495"/>
      <c r="BD1" s="495"/>
      <c r="BE1" s="495"/>
      <c r="BF1" s="495"/>
      <c r="BG1" s="495"/>
      <c r="BH1" s="495"/>
      <c r="BI1" s="495"/>
      <c r="BJ1" s="495"/>
      <c r="BK1" s="495"/>
      <c r="BL1" s="495"/>
      <c r="BM1" s="495"/>
      <c r="BN1" s="495"/>
      <c r="BO1" s="495"/>
      <c r="BP1" s="495"/>
      <c r="BQ1" s="495"/>
      <c r="BR1" s="495"/>
      <c r="BS1" s="495"/>
      <c r="BT1" s="495"/>
      <c r="BU1" s="495"/>
      <c r="BV1" s="495"/>
      <c r="BW1" s="495"/>
      <c r="BX1" s="495"/>
      <c r="BY1" s="495"/>
      <c r="BZ1" s="495"/>
      <c r="CA1" s="495"/>
      <c r="CB1" s="495"/>
      <c r="CC1" s="495"/>
      <c r="CD1" s="495"/>
      <c r="CE1" s="495"/>
      <c r="CF1" s="495"/>
      <c r="CG1" s="495"/>
      <c r="CH1" s="495"/>
      <c r="CI1" s="495"/>
      <c r="CJ1" s="495"/>
      <c r="CK1" s="495"/>
      <c r="CL1" s="495"/>
      <c r="CM1" s="495"/>
      <c r="CN1" s="495"/>
      <c r="CO1" s="495"/>
      <c r="CP1" s="495"/>
      <c r="CQ1" s="495"/>
      <c r="CR1" s="495"/>
      <c r="CS1" s="495"/>
      <c r="CT1" s="495"/>
      <c r="CU1" s="495"/>
      <c r="CV1" s="495"/>
      <c r="CW1" s="495"/>
      <c r="CX1" s="495"/>
      <c r="CY1" s="495"/>
      <c r="CZ1" s="495"/>
      <c r="DA1" s="495"/>
      <c r="DB1" s="495"/>
      <c r="DC1" s="495"/>
      <c r="DD1" s="495"/>
      <c r="DE1" s="495"/>
      <c r="DF1" s="495"/>
      <c r="DG1" s="495"/>
      <c r="DH1" s="495"/>
      <c r="DI1" s="495"/>
      <c r="DJ1" s="495"/>
      <c r="DK1" s="495"/>
      <c r="DL1" s="495"/>
      <c r="DM1" s="495"/>
      <c r="DN1" s="495"/>
      <c r="DO1" s="495"/>
      <c r="DP1" s="495"/>
      <c r="DQ1" s="495"/>
      <c r="DR1" s="495"/>
      <c r="DS1" s="495"/>
      <c r="DT1" s="495"/>
      <c r="DU1" s="495"/>
      <c r="DV1" s="495"/>
      <c r="DW1" s="495"/>
      <c r="DX1" s="495"/>
      <c r="DY1" s="495"/>
      <c r="DZ1" s="495"/>
      <c r="EA1" s="495"/>
      <c r="EB1" s="495"/>
      <c r="EC1" s="495"/>
      <c r="ED1" s="495"/>
      <c r="EE1" s="495"/>
      <c r="EF1" s="495"/>
      <c r="EG1" s="495"/>
      <c r="EH1" s="495"/>
      <c r="EI1" s="495"/>
      <c r="EJ1" s="495"/>
      <c r="EK1" s="495"/>
      <c r="EL1" s="495"/>
      <c r="EM1" s="495"/>
      <c r="EN1" s="495"/>
      <c r="EO1" s="495"/>
      <c r="EP1" s="495"/>
      <c r="EQ1" s="495"/>
      <c r="ER1" s="495"/>
      <c r="ES1" s="495"/>
      <c r="ET1" s="495"/>
      <c r="EU1" s="495"/>
      <c r="EV1" s="495"/>
      <c r="EW1" s="495"/>
      <c r="EX1" s="495"/>
      <c r="EY1" s="495"/>
      <c r="EZ1" s="495"/>
      <c r="FA1" s="495"/>
      <c r="FB1" s="495"/>
      <c r="FC1" s="495"/>
      <c r="FD1" s="495"/>
      <c r="FE1" s="495"/>
      <c r="FF1" s="495"/>
      <c r="FG1" s="495"/>
      <c r="FH1" s="495"/>
      <c r="FI1" s="495"/>
      <c r="FJ1" s="495"/>
      <c r="FK1" s="495"/>
      <c r="FL1" s="495"/>
      <c r="FM1" s="495"/>
      <c r="FN1" s="495"/>
      <c r="FO1" s="495"/>
      <c r="FP1" s="495"/>
      <c r="FQ1" s="495"/>
      <c r="FR1" s="495"/>
      <c r="FS1" s="495"/>
      <c r="FT1" s="495"/>
      <c r="FU1" s="495"/>
      <c r="FV1" s="495"/>
      <c r="FW1" s="495"/>
      <c r="FX1" s="495"/>
      <c r="FY1" s="495"/>
      <c r="FZ1" s="495"/>
      <c r="GA1" s="495"/>
      <c r="GB1" s="495"/>
      <c r="GC1" s="495"/>
      <c r="GD1" s="495"/>
      <c r="GE1" s="495"/>
      <c r="GF1" s="495"/>
      <c r="GG1" s="495"/>
      <c r="GH1" s="495"/>
      <c r="GI1" s="495"/>
      <c r="GJ1" s="495"/>
      <c r="GK1" s="495"/>
      <c r="GL1" s="495"/>
      <c r="GM1" s="495"/>
      <c r="GN1" s="495"/>
      <c r="GO1" s="495"/>
      <c r="GP1" s="495"/>
      <c r="GQ1" s="495"/>
      <c r="GR1" s="495"/>
      <c r="GS1" s="495"/>
      <c r="GT1" s="495"/>
      <c r="GU1" s="495"/>
      <c r="GV1" s="495"/>
      <c r="GW1" s="495"/>
      <c r="GX1" s="495"/>
      <c r="GY1" s="495"/>
      <c r="GZ1" s="495"/>
      <c r="HA1" s="495"/>
      <c r="HB1" s="495"/>
      <c r="HC1" s="495"/>
      <c r="HD1" s="495"/>
      <c r="HE1" s="495"/>
      <c r="HF1" s="495"/>
      <c r="HG1" s="495"/>
      <c r="HH1" s="495"/>
      <c r="HI1" s="495"/>
      <c r="HJ1" s="495"/>
      <c r="HK1" s="495"/>
      <c r="HL1" s="495"/>
      <c r="HM1" s="495"/>
      <c r="HN1" s="495"/>
      <c r="HO1" s="495"/>
      <c r="HP1" s="495"/>
      <c r="HQ1" s="495"/>
      <c r="HR1" s="495"/>
      <c r="HS1" s="495"/>
      <c r="HT1" s="495"/>
      <c r="HU1" s="495"/>
      <c r="HV1" s="495"/>
      <c r="HW1" s="495"/>
      <c r="HX1" s="495"/>
      <c r="HY1" s="495"/>
      <c r="HZ1" s="495"/>
      <c r="IA1" s="495"/>
      <c r="IB1" s="495"/>
      <c r="IC1" s="495"/>
      <c r="ID1" s="495"/>
      <c r="IE1" s="495"/>
      <c r="IF1" s="495"/>
      <c r="IG1" s="495"/>
      <c r="IH1" s="495"/>
      <c r="II1" s="495"/>
      <c r="IJ1" s="495"/>
      <c r="IK1" s="495"/>
      <c r="IL1" s="495"/>
      <c r="IM1" s="495"/>
      <c r="IN1" s="495"/>
      <c r="IO1" s="495"/>
      <c r="IP1" s="495"/>
      <c r="IQ1" s="495"/>
      <c r="IR1" s="495"/>
      <c r="IS1" s="495"/>
      <c r="IT1" s="495"/>
      <c r="IU1" s="495"/>
      <c r="IV1" s="495"/>
    </row>
    <row r="2" spans="1:256" s="2" customFormat="1" ht="63.75" customHeight="1" x14ac:dyDescent="0.25">
      <c r="A2" s="1"/>
      <c r="B2" s="1"/>
      <c r="C2" s="4" t="s">
        <v>17</v>
      </c>
      <c r="D2" s="5"/>
      <c r="E2" s="302"/>
      <c r="F2" s="302"/>
      <c r="G2" s="302"/>
      <c r="H2" s="30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</row>
    <row r="3" spans="1:256" ht="15.75" x14ac:dyDescent="0.25">
      <c r="A3" s="6"/>
      <c r="B3" s="7" t="s">
        <v>19</v>
      </c>
      <c r="C3" s="6"/>
      <c r="D3" s="6"/>
      <c r="E3" s="303" t="s">
        <v>18</v>
      </c>
      <c r="F3" s="340"/>
      <c r="G3" s="302"/>
      <c r="H3" s="302"/>
      <c r="I3" s="1"/>
      <c r="J3" s="1"/>
      <c r="K3" s="1"/>
      <c r="L3" s="1"/>
      <c r="M3" s="1"/>
      <c r="N3" s="1"/>
    </row>
    <row r="4" spans="1:256" ht="15.75" x14ac:dyDescent="0.25">
      <c r="A4" s="6"/>
      <c r="B4" s="260" t="s">
        <v>44</v>
      </c>
      <c r="C4" s="261">
        <f>COUNTIF(J11:J1384, "*Workstation*8*")</f>
        <v>1</v>
      </c>
      <c r="D4" s="1"/>
      <c r="E4" s="304" t="s">
        <v>0</v>
      </c>
      <c r="F4" s="304">
        <f>COUNTIF(F11:F1384, "*i5*")</f>
        <v>27</v>
      </c>
      <c r="G4" s="302"/>
      <c r="H4" s="302"/>
      <c r="I4" s="1"/>
      <c r="J4" s="1"/>
      <c r="K4" s="1"/>
      <c r="L4" s="1"/>
      <c r="M4" s="1"/>
      <c r="N4" s="1"/>
    </row>
    <row r="5" spans="1:256" ht="15.75" x14ac:dyDescent="0.25">
      <c r="A5" s="6"/>
      <c r="B5" s="260" t="s">
        <v>45</v>
      </c>
      <c r="C5" s="261">
        <f>COUNTIF(J11:J1384, "*Workstation*9*")</f>
        <v>25</v>
      </c>
      <c r="D5" s="1"/>
      <c r="E5" s="304" t="s">
        <v>1</v>
      </c>
      <c r="F5" s="304">
        <f>COUNTIF(F11:F1384, "*i3*")</f>
        <v>4</v>
      </c>
      <c r="G5" s="302"/>
      <c r="H5" s="302"/>
      <c r="I5" s="1"/>
      <c r="J5" s="1"/>
      <c r="K5" s="1"/>
      <c r="L5" s="1"/>
      <c r="M5" s="1"/>
      <c r="N5" s="1"/>
    </row>
    <row r="6" spans="1:256" ht="15.75" x14ac:dyDescent="0.25">
      <c r="A6" s="6"/>
      <c r="B6" s="260" t="s">
        <v>46</v>
      </c>
      <c r="C6" s="261">
        <f>COUNTIF(J11:J1393, "*Windows*7*")</f>
        <v>0</v>
      </c>
      <c r="D6" s="1"/>
      <c r="E6" s="304" t="s">
        <v>14</v>
      </c>
      <c r="F6" s="304">
        <f>COUNTIF(F11:F1384, "*i7*")</f>
        <v>1</v>
      </c>
      <c r="G6" s="302"/>
      <c r="H6" s="302"/>
      <c r="I6" s="1"/>
      <c r="J6" s="1"/>
      <c r="K6" s="1"/>
      <c r="L6" s="1"/>
      <c r="M6" s="1"/>
      <c r="N6" s="1"/>
    </row>
    <row r="7" spans="1:256" ht="15.75" x14ac:dyDescent="0.25">
      <c r="A7" s="6"/>
      <c r="B7" s="260" t="s">
        <v>47</v>
      </c>
      <c r="C7" s="261">
        <f>COUNTIF(J11:J1393, "*Windows*10*")</f>
        <v>9</v>
      </c>
      <c r="D7" s="1"/>
      <c r="E7" s="304" t="s">
        <v>15</v>
      </c>
      <c r="F7" s="304">
        <f>COUNTIF(F11:F1384, "*AMD*")</f>
        <v>3</v>
      </c>
      <c r="G7" s="302"/>
      <c r="H7" s="302"/>
      <c r="I7" s="1"/>
      <c r="J7" s="1"/>
      <c r="K7" s="1"/>
      <c r="L7" s="1"/>
      <c r="M7" s="1"/>
      <c r="N7" s="1"/>
    </row>
    <row r="8" spans="1:256" ht="15.75" x14ac:dyDescent="0.25">
      <c r="A8" s="6"/>
      <c r="B8" s="6"/>
      <c r="C8" s="6"/>
      <c r="D8" s="6"/>
      <c r="E8" s="305"/>
      <c r="F8" s="340"/>
      <c r="G8" s="302"/>
      <c r="H8" s="302"/>
      <c r="I8" s="1"/>
      <c r="J8" s="1"/>
      <c r="K8" s="1"/>
      <c r="L8" s="1"/>
      <c r="M8" s="1"/>
      <c r="N8" s="1"/>
    </row>
    <row r="9" spans="1:256" ht="19.5" thickBot="1" x14ac:dyDescent="0.3">
      <c r="B9" s="497" t="s">
        <v>22</v>
      </c>
      <c r="C9" s="497"/>
      <c r="D9" s="3">
        <f>ROWS(C11:C1359)-COUNTIF(C11:C1359,"")</f>
        <v>39</v>
      </c>
      <c r="F9" s="302"/>
      <c r="G9" s="302"/>
      <c r="H9" s="302" t="s">
        <v>16</v>
      </c>
      <c r="I9" s="1"/>
      <c r="J9" s="1"/>
      <c r="K9" s="1"/>
      <c r="L9" s="1"/>
      <c r="M9" s="1"/>
      <c r="N9" s="1"/>
    </row>
    <row r="10" spans="1:256" s="24" customFormat="1" ht="25.5" customHeight="1" thickBot="1" x14ac:dyDescent="0.3">
      <c r="A10" s="18"/>
      <c r="B10" s="19" t="s">
        <v>20</v>
      </c>
      <c r="C10" s="20" t="s">
        <v>2</v>
      </c>
      <c r="D10" s="20" t="s">
        <v>3</v>
      </c>
      <c r="E10" s="307" t="s">
        <v>4</v>
      </c>
      <c r="F10" s="307" t="s">
        <v>5</v>
      </c>
      <c r="G10" s="307" t="s">
        <v>6</v>
      </c>
      <c r="H10" s="307" t="s">
        <v>7</v>
      </c>
      <c r="I10" s="20" t="s">
        <v>8</v>
      </c>
      <c r="J10" s="20" t="s">
        <v>9</v>
      </c>
      <c r="K10" s="21" t="s">
        <v>12</v>
      </c>
      <c r="L10" s="21" t="s">
        <v>23</v>
      </c>
      <c r="M10" s="22" t="s">
        <v>11</v>
      </c>
      <c r="N10" s="23" t="s">
        <v>10</v>
      </c>
    </row>
    <row r="11" spans="1:256" s="481" customFormat="1" ht="24.95" customHeight="1" x14ac:dyDescent="0.25">
      <c r="B11" s="482">
        <v>46231</v>
      </c>
      <c r="C11" s="483" t="s">
        <v>79</v>
      </c>
      <c r="D11" s="484" t="s">
        <v>237</v>
      </c>
      <c r="E11" s="485" t="s">
        <v>81</v>
      </c>
      <c r="F11" s="486" t="s">
        <v>238</v>
      </c>
      <c r="G11" s="487" t="s">
        <v>43</v>
      </c>
      <c r="H11" s="488" t="s">
        <v>83</v>
      </c>
      <c r="I11" s="489" t="s">
        <v>239</v>
      </c>
      <c r="J11" s="490" t="s">
        <v>240</v>
      </c>
      <c r="K11" s="491" t="s">
        <v>86</v>
      </c>
      <c r="L11" s="492" t="s">
        <v>241</v>
      </c>
      <c r="M11" s="493" t="s">
        <v>242</v>
      </c>
      <c r="N11" s="494" t="s">
        <v>73</v>
      </c>
    </row>
    <row r="12" spans="1:256" ht="24.95" customHeight="1" x14ac:dyDescent="0.25">
      <c r="B12" s="468">
        <v>46232</v>
      </c>
      <c r="C12" s="469" t="s">
        <v>228</v>
      </c>
      <c r="D12" s="470" t="s">
        <v>229</v>
      </c>
      <c r="E12" s="471" t="s">
        <v>230</v>
      </c>
      <c r="F12" s="472" t="s">
        <v>231</v>
      </c>
      <c r="G12" s="473" t="s">
        <v>232</v>
      </c>
      <c r="H12" s="474" t="s">
        <v>233</v>
      </c>
      <c r="I12" s="475" t="s">
        <v>234</v>
      </c>
      <c r="J12" s="476" t="s">
        <v>93</v>
      </c>
      <c r="K12" s="477" t="s">
        <v>235</v>
      </c>
      <c r="L12" s="478" t="s">
        <v>236</v>
      </c>
      <c r="M12" s="479" t="s">
        <v>226</v>
      </c>
      <c r="N12" s="480" t="s">
        <v>227</v>
      </c>
    </row>
    <row r="13" spans="1:256" ht="24.95" customHeight="1" x14ac:dyDescent="0.25">
      <c r="B13" s="455">
        <v>46232</v>
      </c>
      <c r="C13" s="456" t="s">
        <v>223</v>
      </c>
      <c r="D13" s="457" t="s">
        <v>224</v>
      </c>
      <c r="E13" s="458" t="s">
        <v>35</v>
      </c>
      <c r="F13" s="459" t="s">
        <v>36</v>
      </c>
      <c r="G13" s="460" t="s">
        <v>153</v>
      </c>
      <c r="H13" s="461" t="s">
        <v>37</v>
      </c>
      <c r="I13" s="462" t="s">
        <v>52</v>
      </c>
      <c r="J13" s="463" t="s">
        <v>39</v>
      </c>
      <c r="K13" s="464" t="s">
        <v>109</v>
      </c>
      <c r="L13" s="465" t="s">
        <v>225</v>
      </c>
      <c r="M13" s="466" t="s">
        <v>226</v>
      </c>
      <c r="N13" s="467" t="s">
        <v>227</v>
      </c>
    </row>
    <row r="14" spans="1:256" ht="24.95" customHeight="1" x14ac:dyDescent="0.25">
      <c r="B14" s="443">
        <v>46231</v>
      </c>
      <c r="C14" s="444" t="s">
        <v>214</v>
      </c>
      <c r="D14" s="445" t="s">
        <v>215</v>
      </c>
      <c r="E14" s="446" t="s">
        <v>216</v>
      </c>
      <c r="F14" s="8" t="s">
        <v>157</v>
      </c>
      <c r="G14" s="447" t="s">
        <v>158</v>
      </c>
      <c r="H14" s="448" t="s">
        <v>217</v>
      </c>
      <c r="I14" s="449" t="s">
        <v>218</v>
      </c>
      <c r="J14" s="450" t="s">
        <v>93</v>
      </c>
      <c r="K14" s="451" t="s">
        <v>219</v>
      </c>
      <c r="L14" s="452" t="s">
        <v>220</v>
      </c>
      <c r="M14" s="453" t="s">
        <v>221</v>
      </c>
      <c r="N14" s="454" t="s">
        <v>222</v>
      </c>
    </row>
    <row r="15" spans="1:256" ht="24.95" customHeight="1" x14ac:dyDescent="0.25">
      <c r="B15" s="435">
        <v>46230</v>
      </c>
      <c r="C15" s="436" t="s">
        <v>210</v>
      </c>
      <c r="D15" s="437" t="s">
        <v>211</v>
      </c>
      <c r="E15" s="438" t="s">
        <v>184</v>
      </c>
      <c r="F15" s="8" t="s">
        <v>185</v>
      </c>
      <c r="G15" s="373" t="s">
        <v>196</v>
      </c>
      <c r="H15" s="439" t="s">
        <v>212</v>
      </c>
      <c r="I15" s="440" t="s">
        <v>213</v>
      </c>
      <c r="J15" s="8" t="s">
        <v>188</v>
      </c>
      <c r="K15" s="441">
        <v>2096</v>
      </c>
      <c r="L15" s="207" t="s">
        <v>162</v>
      </c>
      <c r="M15" s="8" t="s">
        <v>204</v>
      </c>
      <c r="N15" s="442" t="s">
        <v>41</v>
      </c>
    </row>
    <row r="16" spans="1:256" ht="24.95" customHeight="1" x14ac:dyDescent="0.25">
      <c r="B16" s="294">
        <v>46225</v>
      </c>
      <c r="C16" s="295" t="s">
        <v>200</v>
      </c>
      <c r="D16" s="296" t="s">
        <v>201</v>
      </c>
      <c r="E16" s="308" t="s">
        <v>50</v>
      </c>
      <c r="F16" s="341" t="s">
        <v>36</v>
      </c>
      <c r="G16" s="373" t="s">
        <v>153</v>
      </c>
      <c r="H16" s="403" t="s">
        <v>51</v>
      </c>
      <c r="I16" s="8" t="s">
        <v>52</v>
      </c>
      <c r="J16" s="297" t="s">
        <v>39</v>
      </c>
      <c r="K16" s="298" t="s">
        <v>109</v>
      </c>
      <c r="L16" s="299" t="s">
        <v>202</v>
      </c>
      <c r="M16" s="300" t="s">
        <v>203</v>
      </c>
      <c r="N16" s="301" t="s">
        <v>41</v>
      </c>
    </row>
    <row r="17" spans="2:14" ht="24.95" customHeight="1" x14ac:dyDescent="0.25">
      <c r="B17" s="287">
        <v>46225</v>
      </c>
      <c r="C17" s="288" t="s">
        <v>198</v>
      </c>
      <c r="D17" s="289" t="s">
        <v>199</v>
      </c>
      <c r="E17" s="309" t="s">
        <v>35</v>
      </c>
      <c r="F17" s="342" t="s">
        <v>36</v>
      </c>
      <c r="G17" s="374" t="s">
        <v>153</v>
      </c>
      <c r="H17" s="404" t="s">
        <v>37</v>
      </c>
      <c r="I17" s="290" t="s">
        <v>52</v>
      </c>
      <c r="J17" s="291" t="s">
        <v>39</v>
      </c>
      <c r="K17" s="292" t="s">
        <v>109</v>
      </c>
      <c r="L17" s="293" t="s">
        <v>195</v>
      </c>
      <c r="M17" s="8" t="s">
        <v>204</v>
      </c>
      <c r="N17" s="8" t="s">
        <v>205</v>
      </c>
    </row>
    <row r="18" spans="2:14" ht="24.95" customHeight="1" x14ac:dyDescent="0.25">
      <c r="B18" s="279">
        <v>46226</v>
      </c>
      <c r="C18" s="280" t="s">
        <v>164</v>
      </c>
      <c r="D18" s="281" t="s">
        <v>165</v>
      </c>
      <c r="E18" s="310" t="s">
        <v>35</v>
      </c>
      <c r="F18" s="343" t="s">
        <v>36</v>
      </c>
      <c r="G18" s="375" t="s">
        <v>196</v>
      </c>
      <c r="H18" s="405" t="s">
        <v>51</v>
      </c>
      <c r="I18" s="282" t="s">
        <v>52</v>
      </c>
      <c r="J18" s="283" t="s">
        <v>39</v>
      </c>
      <c r="K18" s="8" t="s">
        <v>109</v>
      </c>
      <c r="L18" s="284" t="s">
        <v>197</v>
      </c>
      <c r="M18" s="285" t="s">
        <v>166</v>
      </c>
      <c r="N18" s="286" t="s">
        <v>41</v>
      </c>
    </row>
    <row r="19" spans="2:14" ht="24.95" customHeight="1" x14ac:dyDescent="0.25">
      <c r="B19" s="272">
        <v>46225</v>
      </c>
      <c r="C19" s="273" t="s">
        <v>193</v>
      </c>
      <c r="D19" s="274" t="s">
        <v>194</v>
      </c>
      <c r="E19" s="311" t="s">
        <v>35</v>
      </c>
      <c r="F19" s="344" t="s">
        <v>36</v>
      </c>
      <c r="G19" s="376" t="s">
        <v>153</v>
      </c>
      <c r="H19" s="406" t="s">
        <v>37</v>
      </c>
      <c r="I19" s="275" t="s">
        <v>52</v>
      </c>
      <c r="J19" s="276" t="s">
        <v>39</v>
      </c>
      <c r="K19" s="277" t="s">
        <v>109</v>
      </c>
      <c r="L19" s="278" t="s">
        <v>195</v>
      </c>
      <c r="M19" s="8" t="s">
        <v>204</v>
      </c>
      <c r="N19" s="8" t="s">
        <v>205</v>
      </c>
    </row>
    <row r="20" spans="2:14" ht="24.95" customHeight="1" x14ac:dyDescent="0.25">
      <c r="B20" s="263">
        <v>46227</v>
      </c>
      <c r="C20" s="264" t="s">
        <v>182</v>
      </c>
      <c r="D20" s="265" t="s">
        <v>183</v>
      </c>
      <c r="E20" s="312" t="s">
        <v>184</v>
      </c>
      <c r="F20" s="345" t="s">
        <v>185</v>
      </c>
      <c r="G20" s="377" t="s">
        <v>153</v>
      </c>
      <c r="H20" s="407" t="s">
        <v>186</v>
      </c>
      <c r="I20" s="266" t="s">
        <v>187</v>
      </c>
      <c r="J20" s="267" t="s">
        <v>188</v>
      </c>
      <c r="K20" s="268" t="s">
        <v>189</v>
      </c>
      <c r="L20" s="269" t="s">
        <v>190</v>
      </c>
      <c r="M20" s="270" t="s">
        <v>191</v>
      </c>
      <c r="N20" s="271" t="s">
        <v>192</v>
      </c>
    </row>
    <row r="21" spans="2:14" ht="24.95" customHeight="1" x14ac:dyDescent="0.25">
      <c r="B21" s="252">
        <v>46220</v>
      </c>
      <c r="C21" s="253" t="s">
        <v>178</v>
      </c>
      <c r="D21" s="254" t="s">
        <v>179</v>
      </c>
      <c r="E21" s="313" t="s">
        <v>50</v>
      </c>
      <c r="F21" s="346" t="s">
        <v>36</v>
      </c>
      <c r="G21" s="378" t="s">
        <v>153</v>
      </c>
      <c r="H21" s="408" t="s">
        <v>37</v>
      </c>
      <c r="I21" s="255" t="s">
        <v>52</v>
      </c>
      <c r="J21" s="256" t="s">
        <v>39</v>
      </c>
      <c r="K21" s="257" t="s">
        <v>109</v>
      </c>
      <c r="L21" s="258" t="s">
        <v>21</v>
      </c>
      <c r="M21" s="259" t="s">
        <v>180</v>
      </c>
      <c r="N21" s="8" t="s">
        <v>206</v>
      </c>
    </row>
    <row r="22" spans="2:14" ht="24.95" customHeight="1" x14ac:dyDescent="0.25">
      <c r="B22" s="245">
        <v>46218</v>
      </c>
      <c r="C22" s="246" t="s">
        <v>176</v>
      </c>
      <c r="D22" s="247" t="s">
        <v>177</v>
      </c>
      <c r="E22" s="314" t="s">
        <v>50</v>
      </c>
      <c r="F22" s="347" t="s">
        <v>36</v>
      </c>
      <c r="G22" s="379" t="s">
        <v>153</v>
      </c>
      <c r="H22" s="409" t="s">
        <v>37</v>
      </c>
      <c r="I22" s="248" t="s">
        <v>52</v>
      </c>
      <c r="J22" s="249" t="s">
        <v>39</v>
      </c>
      <c r="K22" s="250" t="s">
        <v>109</v>
      </c>
      <c r="L22" s="251" t="s">
        <v>21</v>
      </c>
      <c r="M22" s="8" t="s">
        <v>207</v>
      </c>
      <c r="N22" s="8" t="s">
        <v>208</v>
      </c>
    </row>
    <row r="23" spans="2:14" ht="24.95" customHeight="1" x14ac:dyDescent="0.25">
      <c r="B23" s="236">
        <v>46218</v>
      </c>
      <c r="C23" s="237" t="s">
        <v>173</v>
      </c>
      <c r="D23" s="238" t="s">
        <v>174</v>
      </c>
      <c r="E23" s="315" t="s">
        <v>50</v>
      </c>
      <c r="F23" s="348" t="s">
        <v>36</v>
      </c>
      <c r="G23" s="380" t="s">
        <v>153</v>
      </c>
      <c r="H23" s="410" t="s">
        <v>37</v>
      </c>
      <c r="I23" s="239" t="s">
        <v>52</v>
      </c>
      <c r="J23" s="240" t="s">
        <v>39</v>
      </c>
      <c r="K23" s="241" t="s">
        <v>109</v>
      </c>
      <c r="L23" s="242" t="s">
        <v>21</v>
      </c>
      <c r="M23" s="243" t="s">
        <v>175</v>
      </c>
      <c r="N23" s="244" t="s">
        <v>41</v>
      </c>
    </row>
    <row r="24" spans="2:14" ht="24.95" customHeight="1" x14ac:dyDescent="0.25">
      <c r="B24" s="227">
        <v>46218</v>
      </c>
      <c r="C24" s="228" t="s">
        <v>170</v>
      </c>
      <c r="D24" s="229" t="s">
        <v>171</v>
      </c>
      <c r="E24" s="316" t="s">
        <v>35</v>
      </c>
      <c r="F24" s="349" t="s">
        <v>36</v>
      </c>
      <c r="G24" s="381" t="s">
        <v>153</v>
      </c>
      <c r="H24" s="411" t="s">
        <v>51</v>
      </c>
      <c r="I24" s="230" t="s">
        <v>52</v>
      </c>
      <c r="J24" s="231" t="s">
        <v>39</v>
      </c>
      <c r="K24" s="232" t="s">
        <v>109</v>
      </c>
      <c r="L24" s="233" t="s">
        <v>21</v>
      </c>
      <c r="M24" s="234" t="s">
        <v>172</v>
      </c>
      <c r="N24" s="235" t="s">
        <v>41</v>
      </c>
    </row>
    <row r="25" spans="2:14" ht="24.95" customHeight="1" x14ac:dyDescent="0.25">
      <c r="B25" s="218">
        <v>46218</v>
      </c>
      <c r="C25" s="219" t="s">
        <v>167</v>
      </c>
      <c r="D25" s="220" t="s">
        <v>168</v>
      </c>
      <c r="E25" s="317" t="s">
        <v>35</v>
      </c>
      <c r="F25" s="350" t="s">
        <v>36</v>
      </c>
      <c r="G25" s="382" t="s">
        <v>153</v>
      </c>
      <c r="H25" s="412" t="s">
        <v>37</v>
      </c>
      <c r="I25" s="221" t="s">
        <v>52</v>
      </c>
      <c r="J25" s="222" t="s">
        <v>39</v>
      </c>
      <c r="K25" s="223" t="s">
        <v>109</v>
      </c>
      <c r="L25" s="224" t="s">
        <v>21</v>
      </c>
      <c r="M25" s="225" t="s">
        <v>169</v>
      </c>
      <c r="N25" s="226" t="s">
        <v>41</v>
      </c>
    </row>
    <row r="26" spans="2:14" ht="24.95" customHeight="1" x14ac:dyDescent="0.25">
      <c r="B26" s="209">
        <v>46218</v>
      </c>
      <c r="C26" s="210" t="s">
        <v>164</v>
      </c>
      <c r="D26" s="211" t="s">
        <v>165</v>
      </c>
      <c r="E26" s="318" t="s">
        <v>35</v>
      </c>
      <c r="F26" s="351" t="s">
        <v>36</v>
      </c>
      <c r="G26" s="383" t="s">
        <v>153</v>
      </c>
      <c r="H26" s="413" t="s">
        <v>37</v>
      </c>
      <c r="I26" s="212" t="s">
        <v>52</v>
      </c>
      <c r="J26" s="213" t="s">
        <v>39</v>
      </c>
      <c r="K26" s="214" t="s">
        <v>109</v>
      </c>
      <c r="L26" s="215" t="s">
        <v>21</v>
      </c>
      <c r="M26" s="216" t="s">
        <v>166</v>
      </c>
      <c r="N26" s="217" t="s">
        <v>41</v>
      </c>
    </row>
    <row r="27" spans="2:14" ht="24.95" customHeight="1" x14ac:dyDescent="0.25">
      <c r="B27" s="201">
        <v>46217</v>
      </c>
      <c r="C27" s="202" t="s">
        <v>155</v>
      </c>
      <c r="D27" s="203" t="s">
        <v>156</v>
      </c>
      <c r="E27" s="393" t="s">
        <v>209</v>
      </c>
      <c r="F27" s="352" t="s">
        <v>157</v>
      </c>
      <c r="G27" s="384" t="s">
        <v>158</v>
      </c>
      <c r="H27" s="414" t="s">
        <v>159</v>
      </c>
      <c r="I27" s="204" t="s">
        <v>160</v>
      </c>
      <c r="J27" s="205" t="s">
        <v>93</v>
      </c>
      <c r="K27" s="206" t="s">
        <v>161</v>
      </c>
      <c r="L27" s="207" t="s">
        <v>162</v>
      </c>
      <c r="M27" s="8" t="s">
        <v>204</v>
      </c>
      <c r="N27" s="208" t="s">
        <v>163</v>
      </c>
    </row>
    <row r="28" spans="2:14" ht="24.95" customHeight="1" x14ac:dyDescent="0.25">
      <c r="B28" s="192">
        <v>46211</v>
      </c>
      <c r="C28" s="193" t="s">
        <v>151</v>
      </c>
      <c r="D28" s="194" t="s">
        <v>152</v>
      </c>
      <c r="E28" s="319" t="s">
        <v>35</v>
      </c>
      <c r="F28" s="353" t="s">
        <v>36</v>
      </c>
      <c r="G28" s="385" t="s">
        <v>153</v>
      </c>
      <c r="H28" s="415" t="s">
        <v>37</v>
      </c>
      <c r="I28" s="195" t="s">
        <v>117</v>
      </c>
      <c r="J28" s="196" t="s">
        <v>39</v>
      </c>
      <c r="K28" s="197" t="s">
        <v>109</v>
      </c>
      <c r="L28" s="198" t="s">
        <v>21</v>
      </c>
      <c r="M28" s="199" t="s">
        <v>154</v>
      </c>
      <c r="N28" s="200" t="s">
        <v>41</v>
      </c>
    </row>
    <row r="29" spans="2:14" ht="24.95" customHeight="1" x14ac:dyDescent="0.25">
      <c r="B29" s="183">
        <v>46202</v>
      </c>
      <c r="C29" s="184" t="s">
        <v>148</v>
      </c>
      <c r="D29" s="185" t="s">
        <v>149</v>
      </c>
      <c r="E29" s="320" t="s">
        <v>35</v>
      </c>
      <c r="F29" s="354" t="s">
        <v>36</v>
      </c>
      <c r="G29" s="386" t="s">
        <v>141</v>
      </c>
      <c r="H29" s="416" t="s">
        <v>51</v>
      </c>
      <c r="I29" s="186" t="s">
        <v>52</v>
      </c>
      <c r="J29" s="187" t="s">
        <v>39</v>
      </c>
      <c r="K29" s="188" t="s">
        <v>109</v>
      </c>
      <c r="L29" s="189" t="s">
        <v>21</v>
      </c>
      <c r="M29" s="190" t="s">
        <v>150</v>
      </c>
      <c r="N29" s="191" t="s">
        <v>41</v>
      </c>
    </row>
    <row r="30" spans="2:14" ht="24.95" customHeight="1" x14ac:dyDescent="0.25">
      <c r="B30" s="174">
        <v>46199</v>
      </c>
      <c r="C30" s="175" t="s">
        <v>145</v>
      </c>
      <c r="D30" s="176" t="s">
        <v>146</v>
      </c>
      <c r="E30" s="321" t="s">
        <v>35</v>
      </c>
      <c r="F30" s="355" t="s">
        <v>36</v>
      </c>
      <c r="G30" s="387" t="s">
        <v>43</v>
      </c>
      <c r="H30" s="417" t="s">
        <v>37</v>
      </c>
      <c r="I30" s="177" t="s">
        <v>52</v>
      </c>
      <c r="J30" s="178" t="s">
        <v>39</v>
      </c>
      <c r="K30" s="179" t="s">
        <v>109</v>
      </c>
      <c r="L30" s="180" t="s">
        <v>21</v>
      </c>
      <c r="M30" s="181" t="s">
        <v>147</v>
      </c>
      <c r="N30" s="182" t="s">
        <v>41</v>
      </c>
    </row>
    <row r="31" spans="2:14" ht="24.95" customHeight="1" x14ac:dyDescent="0.25">
      <c r="B31" s="165">
        <v>46198</v>
      </c>
      <c r="C31" s="166" t="s">
        <v>142</v>
      </c>
      <c r="D31" s="167" t="s">
        <v>143</v>
      </c>
      <c r="E31" s="322" t="s">
        <v>50</v>
      </c>
      <c r="F31" s="356" t="s">
        <v>36</v>
      </c>
      <c r="G31" s="388" t="s">
        <v>141</v>
      </c>
      <c r="H31" s="418" t="s">
        <v>37</v>
      </c>
      <c r="I31" s="168" t="s">
        <v>52</v>
      </c>
      <c r="J31" s="169" t="s">
        <v>39</v>
      </c>
      <c r="K31" s="170" t="s">
        <v>109</v>
      </c>
      <c r="L31" s="171" t="s">
        <v>21</v>
      </c>
      <c r="M31" s="172" t="s">
        <v>144</v>
      </c>
      <c r="N31" s="173" t="s">
        <v>41</v>
      </c>
    </row>
    <row r="32" spans="2:14" ht="24.95" customHeight="1" x14ac:dyDescent="0.25">
      <c r="B32" s="156">
        <v>46196</v>
      </c>
      <c r="C32" s="157" t="s">
        <v>139</v>
      </c>
      <c r="D32" s="158" t="s">
        <v>140</v>
      </c>
      <c r="E32" s="323" t="s">
        <v>50</v>
      </c>
      <c r="F32" s="357" t="s">
        <v>36</v>
      </c>
      <c r="G32" s="389" t="s">
        <v>141</v>
      </c>
      <c r="H32" s="419" t="s">
        <v>37</v>
      </c>
      <c r="I32" s="159" t="s">
        <v>52</v>
      </c>
      <c r="J32" s="160" t="s">
        <v>39</v>
      </c>
      <c r="K32" s="161" t="s">
        <v>109</v>
      </c>
      <c r="L32" s="162" t="s">
        <v>21</v>
      </c>
      <c r="M32" s="163" t="s">
        <v>137</v>
      </c>
      <c r="N32" s="164" t="s">
        <v>138</v>
      </c>
    </row>
    <row r="33" spans="2:14" ht="24.95" customHeight="1" x14ac:dyDescent="0.25">
      <c r="B33" s="147">
        <v>46196</v>
      </c>
      <c r="C33" s="148" t="s">
        <v>130</v>
      </c>
      <c r="D33" s="149" t="s">
        <v>131</v>
      </c>
      <c r="E33" s="324" t="s">
        <v>132</v>
      </c>
      <c r="F33" s="358" t="s">
        <v>133</v>
      </c>
      <c r="G33" s="390" t="s">
        <v>125</v>
      </c>
      <c r="H33" s="420" t="s">
        <v>134</v>
      </c>
      <c r="I33" s="150" t="s">
        <v>135</v>
      </c>
      <c r="J33" s="151" t="s">
        <v>93</v>
      </c>
      <c r="K33" s="152" t="s">
        <v>136</v>
      </c>
      <c r="L33" s="153" t="s">
        <v>21</v>
      </c>
      <c r="M33" s="154" t="s">
        <v>137</v>
      </c>
      <c r="N33" s="155" t="s">
        <v>138</v>
      </c>
    </row>
    <row r="34" spans="2:14" ht="24.95" customHeight="1" x14ac:dyDescent="0.25">
      <c r="B34" s="138">
        <v>46192</v>
      </c>
      <c r="C34" s="139" t="s">
        <v>122</v>
      </c>
      <c r="D34" s="140" t="s">
        <v>123</v>
      </c>
      <c r="E34" s="325" t="s">
        <v>124</v>
      </c>
      <c r="F34" s="359" t="s">
        <v>82</v>
      </c>
      <c r="G34" s="391" t="s">
        <v>125</v>
      </c>
      <c r="H34" s="421" t="s">
        <v>126</v>
      </c>
      <c r="I34" s="141" t="s">
        <v>127</v>
      </c>
      <c r="J34" s="142" t="s">
        <v>93</v>
      </c>
      <c r="K34" s="143" t="s">
        <v>128</v>
      </c>
      <c r="L34" s="144" t="s">
        <v>21</v>
      </c>
      <c r="M34" s="145" t="s">
        <v>129</v>
      </c>
      <c r="N34" s="146" t="s">
        <v>41</v>
      </c>
    </row>
    <row r="35" spans="2:14" ht="24.95" customHeight="1" x14ac:dyDescent="0.25">
      <c r="B35" s="129">
        <v>46191</v>
      </c>
      <c r="C35" s="130" t="s">
        <v>119</v>
      </c>
      <c r="D35" s="131" t="s">
        <v>120</v>
      </c>
      <c r="E35" s="326" t="s">
        <v>35</v>
      </c>
      <c r="F35" s="360" t="s">
        <v>36</v>
      </c>
      <c r="G35" s="392" t="s">
        <v>43</v>
      </c>
      <c r="H35" s="422" t="s">
        <v>51</v>
      </c>
      <c r="I35" s="132" t="s">
        <v>117</v>
      </c>
      <c r="J35" s="133" t="s">
        <v>39</v>
      </c>
      <c r="K35" s="134" t="s">
        <v>109</v>
      </c>
      <c r="L35" s="135" t="s">
        <v>21</v>
      </c>
      <c r="M35" s="136" t="s">
        <v>121</v>
      </c>
      <c r="N35" s="137" t="s">
        <v>41</v>
      </c>
    </row>
    <row r="36" spans="2:14" ht="24.95" customHeight="1" x14ac:dyDescent="0.25">
      <c r="B36" s="120">
        <v>46183</v>
      </c>
      <c r="C36" s="121" t="s">
        <v>114</v>
      </c>
      <c r="D36" s="122" t="s">
        <v>115</v>
      </c>
      <c r="E36" s="327" t="s">
        <v>35</v>
      </c>
      <c r="F36" s="361" t="s">
        <v>36</v>
      </c>
      <c r="G36" s="393" t="s">
        <v>43</v>
      </c>
      <c r="H36" s="423" t="s">
        <v>116</v>
      </c>
      <c r="I36" s="123" t="s">
        <v>117</v>
      </c>
      <c r="J36" s="124" t="s">
        <v>39</v>
      </c>
      <c r="K36" s="125" t="s">
        <v>109</v>
      </c>
      <c r="L36" s="126" t="s">
        <v>21</v>
      </c>
      <c r="M36" s="127" t="s">
        <v>118</v>
      </c>
      <c r="N36" s="128" t="s">
        <v>41</v>
      </c>
    </row>
    <row r="37" spans="2:14" ht="24.95" customHeight="1" x14ac:dyDescent="0.25">
      <c r="B37" s="111">
        <v>46183</v>
      </c>
      <c r="C37" s="112" t="s">
        <v>111</v>
      </c>
      <c r="D37" s="113" t="s">
        <v>112</v>
      </c>
      <c r="E37" s="328" t="s">
        <v>35</v>
      </c>
      <c r="F37" s="362" t="s">
        <v>36</v>
      </c>
      <c r="G37" s="394" t="s">
        <v>43</v>
      </c>
      <c r="H37" s="424" t="s">
        <v>51</v>
      </c>
      <c r="I37" s="114" t="s">
        <v>52</v>
      </c>
      <c r="J37" s="115" t="s">
        <v>39</v>
      </c>
      <c r="K37" s="116" t="s">
        <v>109</v>
      </c>
      <c r="L37" s="117" t="s">
        <v>21</v>
      </c>
      <c r="M37" s="118" t="s">
        <v>113</v>
      </c>
      <c r="N37" s="119" t="s">
        <v>41</v>
      </c>
    </row>
    <row r="38" spans="2:14" ht="24.95" customHeight="1" x14ac:dyDescent="0.25">
      <c r="B38" s="102">
        <v>46183</v>
      </c>
      <c r="C38" s="103" t="s">
        <v>107</v>
      </c>
      <c r="D38" s="104" t="s">
        <v>108</v>
      </c>
      <c r="E38" s="329" t="s">
        <v>50</v>
      </c>
      <c r="F38" s="363" t="s">
        <v>36</v>
      </c>
      <c r="G38" s="395" t="s">
        <v>43</v>
      </c>
      <c r="H38" s="425" t="s">
        <v>37</v>
      </c>
      <c r="I38" s="105" t="s">
        <v>52</v>
      </c>
      <c r="J38" s="106" t="s">
        <v>39</v>
      </c>
      <c r="K38" s="107" t="s">
        <v>109</v>
      </c>
      <c r="L38" s="108" t="s">
        <v>21</v>
      </c>
      <c r="M38" s="109" t="s">
        <v>110</v>
      </c>
      <c r="N38" s="110" t="s">
        <v>41</v>
      </c>
    </row>
    <row r="39" spans="2:14" ht="24.95" customHeight="1" x14ac:dyDescent="0.25">
      <c r="B39" s="94">
        <v>46181</v>
      </c>
      <c r="C39" s="95" t="s">
        <v>104</v>
      </c>
      <c r="D39" s="96" t="s">
        <v>105</v>
      </c>
      <c r="E39" s="330" t="s">
        <v>35</v>
      </c>
      <c r="F39" s="364" t="s">
        <v>36</v>
      </c>
      <c r="G39" s="396" t="s">
        <v>43</v>
      </c>
      <c r="H39" s="426" t="s">
        <v>51</v>
      </c>
      <c r="I39" s="97" t="s">
        <v>106</v>
      </c>
      <c r="J39" s="98" t="s">
        <v>39</v>
      </c>
      <c r="K39" s="262" t="s">
        <v>109</v>
      </c>
      <c r="L39" s="99" t="s">
        <v>21</v>
      </c>
      <c r="M39" s="100" t="s">
        <v>72</v>
      </c>
      <c r="N39" s="101" t="s">
        <v>73</v>
      </c>
    </row>
    <row r="40" spans="2:14" ht="24.95" customHeight="1" x14ac:dyDescent="0.25">
      <c r="B40" s="85">
        <v>46181</v>
      </c>
      <c r="C40" s="86" t="s">
        <v>96</v>
      </c>
      <c r="D40" s="87" t="s">
        <v>97</v>
      </c>
      <c r="E40" s="331" t="s">
        <v>98</v>
      </c>
      <c r="F40" s="365" t="s">
        <v>99</v>
      </c>
      <c r="G40" s="397" t="s">
        <v>100</v>
      </c>
      <c r="H40" s="427" t="s">
        <v>64</v>
      </c>
      <c r="I40" s="88" t="s">
        <v>101</v>
      </c>
      <c r="J40" s="89" t="s">
        <v>102</v>
      </c>
      <c r="K40" s="90" t="s">
        <v>86</v>
      </c>
      <c r="L40" s="91" t="s">
        <v>21</v>
      </c>
      <c r="M40" s="92" t="s">
        <v>103</v>
      </c>
      <c r="N40" s="93" t="s">
        <v>31</v>
      </c>
    </row>
    <row r="41" spans="2:14" ht="24.95" customHeight="1" x14ac:dyDescent="0.25">
      <c r="B41" s="76">
        <v>46178</v>
      </c>
      <c r="C41" s="77" t="s">
        <v>87</v>
      </c>
      <c r="D41" s="78" t="s">
        <v>88</v>
      </c>
      <c r="E41" s="332" t="s">
        <v>89</v>
      </c>
      <c r="F41" s="366" t="s">
        <v>90</v>
      </c>
      <c r="G41" s="398" t="s">
        <v>43</v>
      </c>
      <c r="H41" s="428" t="s">
        <v>91</v>
      </c>
      <c r="I41" s="79" t="s">
        <v>92</v>
      </c>
      <c r="J41" s="80" t="s">
        <v>93</v>
      </c>
      <c r="K41" s="81" t="s">
        <v>94</v>
      </c>
      <c r="L41" s="82" t="s">
        <v>21</v>
      </c>
      <c r="M41" s="83" t="s">
        <v>95</v>
      </c>
      <c r="N41" s="84" t="s">
        <v>73</v>
      </c>
    </row>
    <row r="42" spans="2:14" ht="24.95" customHeight="1" x14ac:dyDescent="0.25">
      <c r="B42" s="67">
        <v>46177</v>
      </c>
      <c r="C42" s="68" t="s">
        <v>79</v>
      </c>
      <c r="D42" s="69" t="s">
        <v>80</v>
      </c>
      <c r="E42" s="333" t="s">
        <v>81</v>
      </c>
      <c r="F42" s="367" t="s">
        <v>82</v>
      </c>
      <c r="G42" s="399" t="s">
        <v>43</v>
      </c>
      <c r="H42" s="429" t="s">
        <v>83</v>
      </c>
      <c r="I42" s="70" t="s">
        <v>84</v>
      </c>
      <c r="J42" s="71" t="s">
        <v>85</v>
      </c>
      <c r="K42" s="72" t="s">
        <v>86</v>
      </c>
      <c r="L42" s="73" t="s">
        <v>21</v>
      </c>
      <c r="M42" s="74" t="s">
        <v>72</v>
      </c>
      <c r="N42" s="75" t="s">
        <v>73</v>
      </c>
    </row>
    <row r="43" spans="2:14" ht="24.95" customHeight="1" x14ac:dyDescent="0.25">
      <c r="B43" s="59">
        <v>46178</v>
      </c>
      <c r="C43" s="60" t="s">
        <v>74</v>
      </c>
      <c r="D43" s="61" t="s">
        <v>75</v>
      </c>
      <c r="E43" s="334" t="s">
        <v>50</v>
      </c>
      <c r="F43" s="368" t="s">
        <v>68</v>
      </c>
      <c r="G43" s="336" t="s">
        <v>43</v>
      </c>
      <c r="H43" s="430" t="s">
        <v>37</v>
      </c>
      <c r="I43" s="62" t="s">
        <v>76</v>
      </c>
      <c r="J43" s="63" t="s">
        <v>39</v>
      </c>
      <c r="K43" s="262" t="s">
        <v>109</v>
      </c>
      <c r="L43" s="64" t="s">
        <v>21</v>
      </c>
      <c r="M43" s="65" t="s">
        <v>77</v>
      </c>
      <c r="N43" s="66" t="s">
        <v>78</v>
      </c>
    </row>
    <row r="44" spans="2:14" ht="24.95" customHeight="1" x14ac:dyDescent="0.25">
      <c r="B44" s="50">
        <v>46178</v>
      </c>
      <c r="C44" s="51" t="s">
        <v>65</v>
      </c>
      <c r="D44" s="52" t="s">
        <v>66</v>
      </c>
      <c r="E44" s="335" t="s">
        <v>67</v>
      </c>
      <c r="F44" s="369" t="s">
        <v>68</v>
      </c>
      <c r="G44" s="400" t="s">
        <v>43</v>
      </c>
      <c r="H44" s="431" t="s">
        <v>69</v>
      </c>
      <c r="I44" s="53" t="s">
        <v>52</v>
      </c>
      <c r="J44" s="54" t="s">
        <v>70</v>
      </c>
      <c r="K44" s="55" t="s">
        <v>71</v>
      </c>
      <c r="L44" s="56" t="s">
        <v>21</v>
      </c>
      <c r="M44" s="57" t="s">
        <v>72</v>
      </c>
      <c r="N44" s="58" t="s">
        <v>73</v>
      </c>
    </row>
    <row r="45" spans="2:14" ht="24.95" customHeight="1" x14ac:dyDescent="0.25">
      <c r="B45" s="43">
        <v>46177</v>
      </c>
      <c r="C45" s="44" t="s">
        <v>58</v>
      </c>
      <c r="D45" s="45" t="s">
        <v>59</v>
      </c>
      <c r="E45" s="336" t="s">
        <v>61</v>
      </c>
      <c r="F45" s="336" t="s">
        <v>62</v>
      </c>
      <c r="G45" s="393" t="s">
        <v>26</v>
      </c>
      <c r="H45" s="336" t="s">
        <v>64</v>
      </c>
      <c r="I45" s="8" t="s">
        <v>63</v>
      </c>
      <c r="J45" s="46" t="s">
        <v>60</v>
      </c>
      <c r="K45" s="262" t="s">
        <v>181</v>
      </c>
      <c r="L45" s="47" t="s">
        <v>21</v>
      </c>
      <c r="M45" s="48" t="s">
        <v>30</v>
      </c>
      <c r="N45" s="49" t="s">
        <v>31</v>
      </c>
    </row>
    <row r="46" spans="2:14" ht="24.95" customHeight="1" x14ac:dyDescent="0.25">
      <c r="B46" s="34">
        <v>46164</v>
      </c>
      <c r="C46" s="35" t="s">
        <v>55</v>
      </c>
      <c r="D46" s="36" t="s">
        <v>56</v>
      </c>
      <c r="E46" s="337" t="s">
        <v>50</v>
      </c>
      <c r="F46" s="370" t="s">
        <v>36</v>
      </c>
      <c r="G46" s="393" t="s">
        <v>43</v>
      </c>
      <c r="H46" s="432" t="s">
        <v>37</v>
      </c>
      <c r="I46" s="37" t="s">
        <v>52</v>
      </c>
      <c r="J46" s="38" t="s">
        <v>39</v>
      </c>
      <c r="K46" s="39" t="s">
        <v>21</v>
      </c>
      <c r="L46" s="40" t="s">
        <v>21</v>
      </c>
      <c r="M46" s="41" t="s">
        <v>57</v>
      </c>
      <c r="N46" s="42" t="s">
        <v>54</v>
      </c>
    </row>
    <row r="47" spans="2:14" ht="24.95" customHeight="1" x14ac:dyDescent="0.25">
      <c r="B47" s="25">
        <v>46164</v>
      </c>
      <c r="C47" s="26" t="s">
        <v>48</v>
      </c>
      <c r="D47" s="27" t="s">
        <v>49</v>
      </c>
      <c r="E47" s="338" t="s">
        <v>50</v>
      </c>
      <c r="F47" s="371" t="s">
        <v>36</v>
      </c>
      <c r="G47" s="401" t="s">
        <v>43</v>
      </c>
      <c r="H47" s="433" t="s">
        <v>51</v>
      </c>
      <c r="I47" s="28" t="s">
        <v>52</v>
      </c>
      <c r="J47" s="29" t="s">
        <v>39</v>
      </c>
      <c r="K47" s="30" t="s">
        <v>21</v>
      </c>
      <c r="L47" s="31" t="s">
        <v>21</v>
      </c>
      <c r="M47" s="32" t="s">
        <v>53</v>
      </c>
      <c r="N47" s="33" t="s">
        <v>54</v>
      </c>
    </row>
    <row r="48" spans="2:14" ht="24.95" customHeight="1" x14ac:dyDescent="0.25">
      <c r="B48" s="9">
        <v>46150</v>
      </c>
      <c r="C48" s="10" t="s">
        <v>33</v>
      </c>
      <c r="D48" s="11" t="s">
        <v>34</v>
      </c>
      <c r="E48" s="339" t="s">
        <v>35</v>
      </c>
      <c r="F48" s="372" t="s">
        <v>36</v>
      </c>
      <c r="G48" s="402" t="s">
        <v>43</v>
      </c>
      <c r="H48" s="434" t="s">
        <v>37</v>
      </c>
      <c r="I48" s="12" t="s">
        <v>38</v>
      </c>
      <c r="J48" s="13" t="s">
        <v>39</v>
      </c>
      <c r="K48" s="14" t="s">
        <v>21</v>
      </c>
      <c r="L48" s="15" t="s">
        <v>21</v>
      </c>
      <c r="M48" s="16" t="s">
        <v>40</v>
      </c>
      <c r="N48" s="17" t="s">
        <v>41</v>
      </c>
    </row>
    <row r="49" spans="2:14" ht="24.95" customHeight="1" x14ac:dyDescent="0.25">
      <c r="B49" s="9">
        <v>46148</v>
      </c>
      <c r="C49" s="10" t="s">
        <v>24</v>
      </c>
      <c r="D49" s="11" t="s">
        <v>21</v>
      </c>
      <c r="E49" s="339" t="s">
        <v>25</v>
      </c>
      <c r="F49" s="372" t="s">
        <v>42</v>
      </c>
      <c r="G49" s="402" t="s">
        <v>26</v>
      </c>
      <c r="H49" s="434" t="s">
        <v>27</v>
      </c>
      <c r="I49" s="12" t="s">
        <v>28</v>
      </c>
      <c r="J49" s="13" t="s">
        <v>29</v>
      </c>
      <c r="K49" s="14" t="s">
        <v>32</v>
      </c>
      <c r="L49" s="15" t="s">
        <v>21</v>
      </c>
      <c r="M49" s="16" t="s">
        <v>30</v>
      </c>
      <c r="N49" s="17" t="s">
        <v>31</v>
      </c>
    </row>
    <row r="50" spans="2:14" ht="15" customHeight="1" x14ac:dyDescent="0.25"/>
    <row r="51" spans="2:14" ht="15" customHeight="1" x14ac:dyDescent="0.25"/>
    <row r="52" spans="2:14" ht="15" customHeight="1" x14ac:dyDescent="0.25"/>
    <row r="53" spans="2:14" ht="15" customHeight="1" x14ac:dyDescent="0.25"/>
    <row r="54" spans="2:14" ht="15" customHeight="1" x14ac:dyDescent="0.25"/>
    <row r="55" spans="2:14" ht="12.75" customHeight="1" x14ac:dyDescent="0.25"/>
  </sheetData>
  <mergeCells count="2">
    <mergeCell ref="A1:XFD1"/>
    <mergeCell ref="B9:C9"/>
  </mergeCells>
  <phoneticPr fontId="0" type="noConversion"/>
  <dataValidations disablePrompts="1" count="18">
    <dataValidation allowBlank="1" showInputMessage="1" showErrorMessage="1" prompt="Накопленные проценты автоматически обновляются в этом столбце" sqref="N10" xr:uid="{208D1BF5-7F46-4AF9-9F86-A23E41975EB3}">
      <formula1>0</formula1>
      <formula2>0</formula2>
    </dataValidation>
    <dataValidation allowBlank="1" showInputMessage="1" showErrorMessage="1" prompt="Конечный баланс автоматически обновляется в этом столбце" sqref="M10" xr:uid="{48A49EE2-779B-4A97-A9DA-30EA62361216}">
      <formula1>0</formula1>
      <formula2>0</formula2>
    </dataValidation>
    <dataValidation allowBlank="1" showInputMessage="1" showErrorMessage="1" prompt="Сумма процентов автоматически обновляется в этом столбце" sqref="J10" xr:uid="{9300DAF8-3910-4A98-8F2D-069E52C145E7}">
      <formula1>0</formula1>
      <formula2>0</formula2>
    </dataValidation>
    <dataValidation allowBlank="1" showInputMessage="1" showErrorMessage="1" prompt="Основная сумма автоматически обновляется в этом столбце" sqref="I10" xr:uid="{D7A67CF8-7B9F-4524-8F76-9A492E32BB4F}">
      <formula1>0</formula1>
      <formula2>0</formula2>
    </dataValidation>
    <dataValidation allowBlank="1" showInputMessage="1" showErrorMessage="1" prompt="Общий платеж автоматически обновляется в этом столбце" sqref="H10" xr:uid="{612183A4-00E9-40BB-B461-00A948657CAB}">
      <formula1>0</formula1>
      <formula2>0</formula2>
    </dataValidation>
    <dataValidation allowBlank="1" showInputMessage="1" showErrorMessage="1" prompt="Дополнительный платеж автоматически обновляется в этом столбце" sqref="G10" xr:uid="{3C89159F-D805-40A4-8F1D-3D5C6B482D88}">
      <formula1>0</formula1>
      <formula2>0</formula2>
    </dataValidation>
    <dataValidation allowBlank="1" showInputMessage="1" showErrorMessage="1" prompt="Плановый платеж автоматически обновляется в этом столбце" sqref="F10" xr:uid="{4682371F-F26E-4069-83E3-EE0C0BD239F6}">
      <formula1>0</formula1>
      <formula2>0</formula2>
    </dataValidation>
    <dataValidation allowBlank="1" showInputMessage="1" showErrorMessage="1" prompt="Начальный баланс автоматически обновляется в этом столбце" sqref="E10" xr:uid="{967D6AAD-2921-41A7-9884-3E2805E49EDB}">
      <formula1>0</formula1>
      <formula2>0</formula2>
    </dataValidation>
    <dataValidation allowBlank="1" showInputMessage="1" showErrorMessage="1" prompt="Дата платежа автоматически обновляется в этом столбце" sqref="D10" xr:uid="{99FBA0A7-0745-4C99-877F-81F03CFB269B}">
      <formula1>0</formula1>
      <formula2>0</formula2>
    </dataValidation>
    <dataValidation allowBlank="1" showInputMessage="1" showErrorMessage="1" prompt="Номер платежа автоматически обновляется в этом столбце" sqref="C10" xr:uid="{1AE87A4E-B386-4421-A23F-1BB3463E7B2A}">
      <formula1>0</formula1>
      <formula2>0</formula2>
    </dataValidation>
    <dataValidation allowBlank="1" showInputMessage="1" showErrorMessage="1" prompt="Введите значения кредита в ячейках с E5 по E9 и данные о дополнительном платеже в ячейку E11. Описание каждого значения кредита находится в столбце E. Таблица &quot;График выплат&quot; начинается в ячейке G4 и обновляется автоматически." sqref="B3" xr:uid="{26694EE0-8890-4417-8E96-422F19A4AAB2}">
      <formula1>0</formula1>
      <formula2>0</formula2>
    </dataValidation>
    <dataValidation allowBlank="1" showInputMessage="1" showErrorMessage="1" prompt="Поля со сведениями о кредите с I5 до I9 автоматически настраиваются в зависимости от значений, которые введены в ячейках E5–E9. Введите имя кредитора в ячейку I11._x000a__x000a_Описание каждого значения можно найти в столбце I." sqref="E3" xr:uid="{9E7F8F92-BD97-48B6-AC9C-39B67FBE66DB}">
      <formula1>0</formula1>
      <formula2>0</formula2>
    </dataValidation>
    <dataValidation allowBlank="1" showInputMessage="1" showErrorMessage="1" prompt="Эта ячейка содержит название листа._x000a__x000a_Введите сумму кредита в ячейки E5-E9, а дополнительные платежи в E11. Введите сведения о кредите в ячейки I5-K9, а имя кредитора в I11._x000a__x000a_Таблица расписания платежей обновляется автоматически." sqref="C2" xr:uid="{B5C6CB84-8110-47AC-9D04-EC9B105EE0BB}">
      <formula1>0</formula1>
      <formula2>0</formula2>
    </dataValidation>
    <dataValidation allowBlank="1" showInputMessage="1" showErrorMessage="1" prompt="Введите в этой ячейке количество платежей, которое необходимо сделать за год" sqref="D7:E7" xr:uid="{E26741D4-B145-465E-B96A-97BAB6076BE8}">
      <formula1>0</formula1>
      <formula2>0</formula2>
    </dataValidation>
    <dataValidation allowBlank="1" showInputMessage="1" showErrorMessage="1" prompt="Введите в этой ячейке период кредитования в годах" sqref="D6:E6" xr:uid="{A974FA82-5B9A-4DCE-9708-DD2B2BEE72B6}">
      <formula1>0</formula1>
      <formula2>0</formula2>
    </dataValidation>
    <dataValidation allowBlank="1" showInputMessage="1" showErrorMessage="1" prompt="Введите в этой ячейке процентную ставку для ежегодной оплаты" sqref="D5:E5" xr:uid="{CDD25DAD-F9C1-4CB9-B10B-58C4F97E6429}">
      <formula1>0</formula1>
      <formula2>0</formula2>
    </dataValidation>
    <dataValidation allowBlank="1" showInputMessage="1" showErrorMessage="1" prompt="Введите в этой ячейке сумму кредита" sqref="D4:E4" xr:uid="{2A28A91F-7E79-4425-9045-8E962F7A704F}">
      <formula1>0</formula1>
      <formula2>0</formula2>
    </dataValidation>
    <dataValidation allowBlank="1" showInputMessage="1" showErrorMessage="1" prompt="Введите сумму дополнительных платежей в этой ячейке" sqref="F9 D9" xr:uid="{B5564E03-EEAF-4854-B457-BCA60C19BF3E}">
      <formula1>0</formula1>
      <formula2>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oio0133</dc:creator>
  <cp:lastModifiedBy>oio0133</cp:lastModifiedBy>
  <dcterms:created xsi:type="dcterms:W3CDTF">2026-05-04T07:55:28Z</dcterms:created>
  <dcterms:modified xsi:type="dcterms:W3CDTF">2026-08-04T07:30:35Z</dcterms:modified>
</cp:coreProperties>
</file>